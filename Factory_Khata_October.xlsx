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546" documentId="8_{4BA2F63F-AD4E-4F04-A724-5F712AF3C5FD}" xr6:coauthVersionLast="47" xr6:coauthVersionMax="47" xr10:uidLastSave="{BF1D693B-C4C5-44F6-8014-8685C070ABD0}"/>
  <bookViews>
    <workbookView xWindow="-120" yWindow="-120" windowWidth="20640" windowHeight="11040"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c r="C4" i="8"/>
  <c r="F21" i="15"/>
  <c r="F22" i="15"/>
  <c r="G21" i="15"/>
  <c r="H21" i="15" s="1"/>
  <c r="G22" i="15"/>
  <c r="H22" i="15" s="1"/>
  <c r="F10" i="15"/>
  <c r="G10" i="15"/>
  <c r="G9" i="7"/>
  <c r="H9" i="7" s="1"/>
  <c r="G59" i="6"/>
  <c r="I59" i="6"/>
  <c r="H49" i="6"/>
  <c r="I49" i="6" s="1"/>
  <c r="G49" i="6"/>
  <c r="H141" i="1"/>
  <c r="H10" i="15" l="1"/>
  <c r="I132" i="1"/>
  <c r="J132" i="1" s="1" a="1"/>
  <c r="J132" i="1" s="1"/>
  <c r="I133" i="1"/>
  <c r="J133" i="1" a="1"/>
  <c r="J133" i="1" s="1"/>
  <c r="I134" i="1"/>
  <c r="J134" i="1" a="1"/>
  <c r="J134" i="1" s="1"/>
  <c r="I135" i="1"/>
  <c r="J135" i="1" s="1" a="1"/>
  <c r="J135" i="1" s="1"/>
  <c r="I136" i="1"/>
  <c r="J136" i="1" s="1" a="1"/>
  <c r="J136" i="1" s="1"/>
  <c r="I137" i="1"/>
  <c r="J137" i="1" s="1" a="1"/>
  <c r="J137" i="1" s="1"/>
  <c r="I138" i="1"/>
  <c r="J138" i="1" a="1"/>
  <c r="J138" i="1" s="1"/>
  <c r="I139" i="1"/>
  <c r="J139" i="1" s="1" a="1"/>
  <c r="J139" i="1" s="1"/>
  <c r="I140" i="1"/>
  <c r="J140" i="1" a="1"/>
  <c r="J140" i="1" s="1"/>
  <c r="C39" i="12"/>
  <c r="C40" i="12"/>
  <c r="C41" i="12"/>
  <c r="C42" i="12"/>
  <c r="C38" i="12"/>
  <c r="C37" i="12"/>
  <c r="G17" i="7"/>
  <c r="H17" i="7" s="1"/>
  <c r="G18" i="7"/>
  <c r="H18" i="7" s="1"/>
  <c r="G19" i="7"/>
  <c r="H19" i="7" s="1"/>
  <c r="G13" i="7"/>
  <c r="H13" i="7" s="1"/>
  <c r="G14" i="7"/>
  <c r="H14" i="7" s="1"/>
  <c r="G15" i="7"/>
  <c r="H15" i="7" s="1"/>
  <c r="G16" i="7"/>
  <c r="H16" i="7" s="1"/>
  <c r="F17" i="15"/>
  <c r="F18" i="15"/>
  <c r="F19" i="15"/>
  <c r="F20" i="15"/>
  <c r="G17" i="15"/>
  <c r="H17" i="15" s="1"/>
  <c r="G18" i="15"/>
  <c r="H18" i="15" s="1"/>
  <c r="G19" i="15"/>
  <c r="H19" i="15" s="1"/>
  <c r="G20" i="15"/>
  <c r="H20" i="15" s="1"/>
  <c r="G16" i="15"/>
  <c r="H16" i="15" s="1"/>
  <c r="G53" i="6"/>
  <c r="H53" i="6"/>
  <c r="I53" i="6" s="1"/>
  <c r="H55" i="6"/>
  <c r="I55" i="6" s="1"/>
  <c r="I54" i="6"/>
  <c r="H56" i="6"/>
  <c r="I56" i="6" s="1"/>
  <c r="H57" i="6"/>
  <c r="I57" i="6" s="1"/>
  <c r="H58" i="6"/>
  <c r="I58" i="6" s="1"/>
  <c r="G54" i="6"/>
  <c r="G55" i="6"/>
  <c r="G56" i="6"/>
  <c r="G57" i="6"/>
  <c r="G58" i="6"/>
  <c r="C417" i="17"/>
  <c r="I128" i="1"/>
  <c r="J128" i="1" s="1" a="1"/>
  <c r="J128" i="1" s="1"/>
  <c r="I129" i="1"/>
  <c r="J129" i="1" s="1" a="1"/>
  <c r="J129" i="1" s="1"/>
  <c r="I130" i="1"/>
  <c r="J130" i="1" s="1" a="1"/>
  <c r="J130" i="1" s="1"/>
  <c r="I131" i="1"/>
  <c r="J131" i="1" s="1" a="1"/>
  <c r="J131" i="1" s="1"/>
  <c r="C409" i="17"/>
  <c r="G12" i="7"/>
  <c r="H12" i="7" s="1"/>
  <c r="I122" i="1"/>
  <c r="J122" i="1" s="1" a="1"/>
  <c r="J122" i="1" s="1"/>
  <c r="I123" i="1"/>
  <c r="J123" i="1" s="1" a="1"/>
  <c r="J123" i="1" s="1"/>
  <c r="I124" i="1"/>
  <c r="J124" i="1" s="1" a="1"/>
  <c r="J124" i="1" s="1"/>
  <c r="I125" i="1"/>
  <c r="J125" i="1" s="1" a="1"/>
  <c r="J125" i="1" s="1"/>
  <c r="I126" i="1"/>
  <c r="J126" i="1" s="1" a="1"/>
  <c r="J126" i="1" s="1"/>
  <c r="I127" i="1"/>
  <c r="J127" i="1" s="1" a="1"/>
  <c r="J127" i="1" s="1"/>
  <c r="G11" i="7"/>
  <c r="H11" i="7" s="1"/>
  <c r="F13" i="15"/>
  <c r="G13" i="15"/>
  <c r="H13" i="15" s="1"/>
  <c r="G14" i="15"/>
  <c r="G15" i="15"/>
  <c r="H15" i="15" s="1"/>
  <c r="H52" i="6"/>
  <c r="I52" i="6" s="1"/>
  <c r="H50" i="6"/>
  <c r="I50" i="6" s="1"/>
  <c r="H51" i="6"/>
  <c r="I51" i="6" s="1"/>
  <c r="G50" i="6"/>
  <c r="G51" i="6"/>
  <c r="G52" i="6"/>
  <c r="H47" i="6"/>
  <c r="I47" i="6" s="1"/>
  <c r="H48" i="6"/>
  <c r="I48" i="6" s="1"/>
  <c r="G48" i="6"/>
  <c r="G47" i="6"/>
  <c r="C339" i="17"/>
  <c r="I121" i="1"/>
  <c r="J121" i="1" s="1" a="1"/>
  <c r="J121" i="1" s="1"/>
  <c r="H45" i="6"/>
  <c r="I45" i="6" s="1"/>
  <c r="H46" i="6"/>
  <c r="I46" i="6" s="1"/>
  <c r="G45" i="6"/>
  <c r="G46" i="6"/>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119" i="1"/>
  <c r="J119" i="1" s="1" a="1"/>
  <c r="J119" i="1" s="1"/>
  <c r="I120" i="1"/>
  <c r="J120" i="1" s="1" a="1"/>
  <c r="J120" i="1" s="1"/>
  <c r="H43" i="6"/>
  <c r="I43" i="6" s="1"/>
  <c r="H44" i="6"/>
  <c r="I44" i="6" s="1"/>
  <c r="G43" i="6"/>
  <c r="G44" i="6"/>
  <c r="F12" i="15"/>
  <c r="G12" i="15"/>
  <c r="H12" i="15" s="1"/>
  <c r="I107" i="1"/>
  <c r="J107" i="1" s="1" a="1"/>
  <c r="J107" i="1" s="1"/>
  <c r="I108" i="1"/>
  <c r="J108" i="1" s="1" a="1"/>
  <c r="J108" i="1" s="1"/>
  <c r="H41" i="6"/>
  <c r="I41" i="6" s="1"/>
  <c r="H42" i="6"/>
  <c r="I42" i="6" s="1"/>
  <c r="G41" i="6"/>
  <c r="G42" i="6"/>
  <c r="C279" i="17"/>
  <c r="H40" i="6"/>
  <c r="I40" i="6" s="1"/>
  <c r="G40" i="6"/>
  <c r="I101" i="1"/>
  <c r="J101" i="1" s="1" a="1"/>
  <c r="J101" i="1" s="1"/>
  <c r="I102" i="1"/>
  <c r="J102" i="1" s="1" a="1"/>
  <c r="J102" i="1" s="1"/>
  <c r="I103" i="1"/>
  <c r="J103" i="1" s="1" a="1"/>
  <c r="J103" i="1" s="1"/>
  <c r="I104" i="1"/>
  <c r="J104" i="1" s="1" a="1"/>
  <c r="J104" i="1" s="1"/>
  <c r="I105" i="1"/>
  <c r="J105" i="1" s="1" a="1"/>
  <c r="J105" i="1" s="1"/>
  <c r="I106" i="1"/>
  <c r="J106" i="1" s="1" a="1"/>
  <c r="J106" i="1" s="1"/>
  <c r="H39" i="6"/>
  <c r="I39" i="6" s="1"/>
  <c r="G39" i="6"/>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s="1" a="1"/>
  <c r="J83" i="1" s="1"/>
  <c r="B49" i="9" a="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6" i="6"/>
  <c r="I36" i="6" s="1"/>
  <c r="H37" i="6"/>
  <c r="I37" i="6" s="1"/>
  <c r="G36" i="6"/>
  <c r="G37" i="6"/>
  <c r="I34" i="1"/>
  <c r="J34" i="1" s="1" a="1"/>
  <c r="J34" i="1" s="1"/>
  <c r="I35" i="1"/>
  <c r="J35" i="1" s="1" a="1"/>
  <c r="J35" i="1" s="1"/>
  <c r="I36" i="1"/>
  <c r="J36" i="1" s="1" a="1"/>
  <c r="J36" i="1" s="1"/>
  <c r="I37" i="1"/>
  <c r="J37" i="1" s="1" a="1"/>
  <c r="J37" i="1" s="1"/>
  <c r="I39" i="1"/>
  <c r="J39" i="1" s="1" a="1"/>
  <c r="J39" i="1" s="1"/>
  <c r="I40" i="1"/>
  <c r="J40" i="1" s="1" a="1"/>
  <c r="J40" i="1" s="1"/>
  <c r="I42" i="1"/>
  <c r="J42" i="1" s="1" a="1"/>
  <c r="J42" i="1" s="1"/>
  <c r="I44" i="1"/>
  <c r="J44" i="1" s="1" a="1"/>
  <c r="J44" i="1" s="1"/>
  <c r="F11" i="15"/>
  <c r="G11" i="15"/>
  <c r="H11" i="15" s="1"/>
  <c r="G10" i="7"/>
  <c r="H10"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s="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s="1" a="1"/>
  <c r="J71" i="1" s="1"/>
  <c r="I74" i="1"/>
  <c r="J74" i="1" s="1" a="1"/>
  <c r="J74" i="1" s="1"/>
  <c r="I64" i="1"/>
  <c r="J64" i="1" s="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N6" i="17" s="1"/>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G8" i="15"/>
  <c r="H8" i="15" s="1"/>
  <c r="G9" i="15"/>
  <c r="B84" i="9" a="1"/>
  <c r="B84" i="9" s="1"/>
  <c r="J27" i="15"/>
  <c r="J26" i="15"/>
  <c r="J25" i="15"/>
  <c r="E30" i="7"/>
  <c r="E31" i="7"/>
  <c r="E32" i="7"/>
  <c r="E33" i="7"/>
  <c r="E34" i="7"/>
  <c r="E35" i="7"/>
  <c r="E36" i="7"/>
  <c r="E37" i="7"/>
  <c r="E38" i="7"/>
  <c r="E39" i="7"/>
  <c r="E40" i="7"/>
  <c r="E41" i="7"/>
  <c r="E42" i="7"/>
  <c r="E43" i="7"/>
  <c r="E44" i="7"/>
  <c r="E45" i="7"/>
  <c r="E46" i="7"/>
  <c r="E47" i="7"/>
  <c r="E48" i="7"/>
  <c r="E49" i="7"/>
  <c r="E50" i="7"/>
  <c r="E29"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s="1"/>
  <c r="B9"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F27" i="2"/>
  <c r="H27" i="2" s="1"/>
  <c r="I27" i="2" s="1"/>
  <c r="D27" i="2" s="1"/>
  <c r="E27" i="2"/>
  <c r="E59" i="2"/>
  <c r="F59" i="2"/>
  <c r="F28" i="2"/>
  <c r="E28" i="2"/>
  <c r="E60" i="2"/>
  <c r="F60" i="2"/>
  <c r="G60" i="2" s="1"/>
  <c r="E61" i="2"/>
  <c r="F61" i="2"/>
  <c r="H61" i="2"/>
  <c r="I61" i="2" s="1"/>
  <c r="D61" i="2" s="1"/>
  <c r="E62" i="2"/>
  <c r="F62" i="2"/>
  <c r="H62" i="2" s="1"/>
  <c r="I62" i="2" s="1"/>
  <c r="D62" i="2" s="1"/>
  <c r="E63" i="2"/>
  <c r="F63" i="2"/>
  <c r="H63" i="2" s="1"/>
  <c r="I63" i="2" s="1"/>
  <c r="D63" i="2" s="1"/>
  <c r="E64" i="2"/>
  <c r="F64" i="2"/>
  <c r="H64" i="2"/>
  <c r="I64" i="2" s="1"/>
  <c r="D64" i="2" s="1"/>
  <c r="E65" i="2"/>
  <c r="F65" i="2"/>
  <c r="G65" i="2" s="1"/>
  <c r="H137" i="1" s="1"/>
  <c r="E66" i="2"/>
  <c r="G66" i="2" s="1"/>
  <c r="H138" i="1" s="1"/>
  <c r="F66" i="2"/>
  <c r="H66" i="2"/>
  <c r="I66" i="2"/>
  <c r="D66" i="2" s="1"/>
  <c r="E67" i="2"/>
  <c r="G67" i="2" s="1"/>
  <c r="H139" i="1" s="1"/>
  <c r="F67" i="2"/>
  <c r="H67" i="2" s="1"/>
  <c r="I67" i="2" s="1"/>
  <c r="D67" i="2" s="1"/>
  <c r="E68" i="2"/>
  <c r="G68" i="2" s="1"/>
  <c r="F68" i="2"/>
  <c r="H68" i="2"/>
  <c r="I68" i="2" s="1"/>
  <c r="D68" i="2" s="1"/>
  <c r="E69" i="2"/>
  <c r="G69" i="2" s="1"/>
  <c r="F69" i="2"/>
  <c r="H69" i="2"/>
  <c r="I69" i="2" s="1"/>
  <c r="D69" i="2" s="1"/>
  <c r="E70" i="2"/>
  <c r="F70" i="2"/>
  <c r="H70" i="2" s="1"/>
  <c r="I70" i="2" s="1"/>
  <c r="D70" i="2" s="1"/>
  <c r="E71" i="2"/>
  <c r="F71" i="2"/>
  <c r="H71" i="2" s="1"/>
  <c r="I71" i="2" s="1"/>
  <c r="D71" i="2" s="1"/>
  <c r="E72" i="2"/>
  <c r="F72" i="2"/>
  <c r="E73" i="2"/>
  <c r="F73" i="2"/>
  <c r="H73" i="2"/>
  <c r="I73" i="2"/>
  <c r="D73" i="2"/>
  <c r="E45" i="2"/>
  <c r="F45" i="2"/>
  <c r="G45" i="2" s="1"/>
  <c r="E46" i="2"/>
  <c r="F46" i="2"/>
  <c r="H46" i="2" s="1"/>
  <c r="I46" i="2" s="1"/>
  <c r="D46" i="2" s="1"/>
  <c r="E47" i="2"/>
  <c r="F47" i="2"/>
  <c r="E48" i="2"/>
  <c r="F48" i="2"/>
  <c r="H48" i="2" s="1"/>
  <c r="I48" i="2" s="1"/>
  <c r="D48" i="2" s="1"/>
  <c r="F20" i="2"/>
  <c r="E20" i="2"/>
  <c r="E49" i="2"/>
  <c r="G49" i="2" s="1"/>
  <c r="H102" i="1" s="1"/>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H5" i="2"/>
  <c r="I5" i="2" s="1"/>
  <c r="D5" i="2" s="1"/>
  <c r="E5" i="2"/>
  <c r="E34" i="2"/>
  <c r="F34" i="2"/>
  <c r="F18" i="2"/>
  <c r="H18" i="2" s="1"/>
  <c r="I18" i="2" s="1"/>
  <c r="D18" i="2" s="1"/>
  <c r="E18" i="2"/>
  <c r="E35" i="2"/>
  <c r="F35" i="2"/>
  <c r="E36" i="2"/>
  <c r="F36" i="2"/>
  <c r="G36" i="2" s="1"/>
  <c r="H83" i="1" s="1"/>
  <c r="F22" i="2"/>
  <c r="H22" i="2" s="1"/>
  <c r="I22" i="2" s="1"/>
  <c r="D22" i="2" s="1"/>
  <c r="E22" i="2"/>
  <c r="F7" i="2"/>
  <c r="E7" i="2"/>
  <c r="E37" i="2"/>
  <c r="F37" i="2"/>
  <c r="H37" i="2" s="1"/>
  <c r="I37" i="2" s="1"/>
  <c r="D37" i="2" s="1"/>
  <c r="E39" i="2"/>
  <c r="F39" i="2"/>
  <c r="E40" i="2"/>
  <c r="F40" i="2"/>
  <c r="E41" i="2"/>
  <c r="F41" i="2"/>
  <c r="H41" i="2" s="1"/>
  <c r="I41" i="2" s="1"/>
  <c r="D41" i="2" s="1"/>
  <c r="E42" i="2"/>
  <c r="F42" i="2"/>
  <c r="G42" i="2" s="1"/>
  <c r="H95" i="1" s="1"/>
  <c r="E43" i="2"/>
  <c r="F43" i="2"/>
  <c r="G43" i="2" s="1"/>
  <c r="H96" i="1" s="1"/>
  <c r="E44" i="2"/>
  <c r="F44" i="2"/>
  <c r="G44" i="2" s="1"/>
  <c r="H97" i="1" s="1"/>
  <c r="F19" i="2"/>
  <c r="H19" i="2" s="1"/>
  <c r="I19" i="2" s="1"/>
  <c r="D19" i="2" s="1"/>
  <c r="E19" i="2"/>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G15" i="2" s="1"/>
  <c r="H49" i="1" s="1"/>
  <c r="F16" i="2"/>
  <c r="E16" i="2"/>
  <c r="F26" i="2"/>
  <c r="E26" i="2"/>
  <c r="F29" i="2"/>
  <c r="E29" i="2"/>
  <c r="F30" i="2"/>
  <c r="H30" i="2" s="1"/>
  <c r="I30" i="2" s="1"/>
  <c r="D30" i="2" s="1"/>
  <c r="F31" i="2"/>
  <c r="H31" i="2" s="1"/>
  <c r="I31" i="2" s="1"/>
  <c r="D31" i="2" s="1"/>
  <c r="E31" i="2"/>
  <c r="G31" i="2" s="1"/>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G8" i="2" s="1"/>
  <c r="F8" i="2"/>
  <c r="H8" i="2" s="1"/>
  <c r="I8" i="2" s="1"/>
  <c r="D8" i="2" s="1"/>
  <c r="E10" i="2"/>
  <c r="E4" i="2"/>
  <c r="C8" i="8"/>
  <c r="F10" i="2"/>
  <c r="H10" i="2" s="1"/>
  <c r="I10" i="2" s="1"/>
  <c r="D10" i="2" s="1"/>
  <c r="F4" i="2"/>
  <c r="H4" i="2" s="1"/>
  <c r="I4" i="2" s="1"/>
  <c r="D4" i="2" s="1"/>
  <c r="N3" i="7"/>
  <c r="N5" i="7" s="1"/>
  <c r="E6" i="11"/>
  <c r="D6" i="11"/>
  <c r="F3" i="2"/>
  <c r="J15" i="14"/>
  <c r="H92" i="2"/>
  <c r="I92" i="2"/>
  <c r="D92" i="2"/>
  <c r="G76" i="2"/>
  <c r="G88" i="2"/>
  <c r="G81" i="2"/>
  <c r="G72" i="2"/>
  <c r="G87" i="2"/>
  <c r="H94" i="2"/>
  <c r="I94" i="2"/>
  <c r="D94" i="2"/>
  <c r="G91" i="2"/>
  <c r="G90" i="2"/>
  <c r="H89" i="2"/>
  <c r="I89" i="2"/>
  <c r="D89" i="2"/>
  <c r="E20" i="7"/>
  <c r="G83" i="2"/>
  <c r="G80" i="2"/>
  <c r="H98" i="2"/>
  <c r="I98" i="2"/>
  <c r="D98" i="2"/>
  <c r="H93" i="2"/>
  <c r="I93" i="2"/>
  <c r="D93" i="2"/>
  <c r="G85" i="2"/>
  <c r="H88" i="2"/>
  <c r="I88" i="2"/>
  <c r="D88" i="2"/>
  <c r="H95" i="2"/>
  <c r="I95" i="2"/>
  <c r="D95" i="2"/>
  <c r="G84" i="2"/>
  <c r="H97" i="2"/>
  <c r="I97" i="2"/>
  <c r="D97" i="2"/>
  <c r="G71" i="2"/>
  <c r="H72" i="2"/>
  <c r="I72" i="2"/>
  <c r="D72" i="2"/>
  <c r="G86" i="2"/>
  <c r="G77" i="2"/>
  <c r="G75" i="2"/>
  <c r="G64" i="2"/>
  <c r="H136" i="1" s="1"/>
  <c r="G74" i="2"/>
  <c r="G82" i="2"/>
  <c r="G78" i="2"/>
  <c r="H85" i="2"/>
  <c r="I85" i="2"/>
  <c r="D85" i="2"/>
  <c r="G79" i="2"/>
  <c r="H82" i="2"/>
  <c r="I82" i="2"/>
  <c r="D82" i="2"/>
  <c r="H74" i="2"/>
  <c r="I74" i="2"/>
  <c r="D74" i="2"/>
  <c r="H81" i="2"/>
  <c r="I81" i="2"/>
  <c r="D81" i="2"/>
  <c r="H76" i="2"/>
  <c r="I76" i="2"/>
  <c r="D76" i="2"/>
  <c r="H28" i="1"/>
  <c r="G73" i="2"/>
  <c r="H65" i="2"/>
  <c r="I65" i="2" s="1"/>
  <c r="D65" i="2" s="1"/>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s="1" a="1"/>
  <c r="J29" i="1" s="1"/>
  <c r="I25" i="1"/>
  <c r="J25" i="1" s="1" a="1"/>
  <c r="J25" i="1" s="1"/>
  <c r="I9" i="1"/>
  <c r="J9" i="1" s="1" a="1"/>
  <c r="J9" i="1" s="1"/>
  <c r="I15" i="1"/>
  <c r="J15" i="1" s="1" a="1"/>
  <c r="J15" i="1" s="1"/>
  <c r="I18" i="1"/>
  <c r="J18" i="1" s="1" a="1"/>
  <c r="J18" i="1" s="1"/>
  <c r="I33" i="1"/>
  <c r="J33" i="1" s="1" a="1"/>
  <c r="J33" i="1" s="1"/>
  <c r="D2" i="17"/>
  <c r="N5" i="17" s="1"/>
  <c r="B2" i="2"/>
  <c r="H34" i="2"/>
  <c r="I34" i="2" s="1"/>
  <c r="D34" i="2" s="1"/>
  <c r="H59" i="2"/>
  <c r="I59" i="2" s="1"/>
  <c r="D59" i="2" s="1"/>
  <c r="G51" i="2"/>
  <c r="H104" i="1" s="1"/>
  <c r="G61" i="2"/>
  <c r="H131" i="1" s="1"/>
  <c r="D472" i="17"/>
  <c r="K5" i="17" s="1"/>
  <c r="H105" i="1"/>
  <c r="C472" i="17"/>
  <c r="K4" i="17" s="1"/>
  <c r="C16" i="10"/>
  <c r="C2" i="2"/>
  <c r="C12" i="10" l="1"/>
  <c r="J30" i="15"/>
  <c r="H9" i="15"/>
  <c r="G60" i="6"/>
  <c r="H40" i="1"/>
  <c r="H39" i="1"/>
  <c r="G29" i="2"/>
  <c r="G35" i="2"/>
  <c r="H81" i="1" s="1"/>
  <c r="G7" i="2"/>
  <c r="H38" i="1" s="1"/>
  <c r="G63" i="2"/>
  <c r="H135" i="1" s="1"/>
  <c r="G70" i="2"/>
  <c r="G59" i="2"/>
  <c r="H124" i="1" s="1"/>
  <c r="G12" i="2"/>
  <c r="H46" i="1" s="1"/>
  <c r="G52" i="2"/>
  <c r="G32" i="2"/>
  <c r="H77" i="1" s="1"/>
  <c r="G47" i="2"/>
  <c r="H100" i="1" s="1"/>
  <c r="G57" i="2"/>
  <c r="H129" i="1" s="1"/>
  <c r="G26" i="2"/>
  <c r="H12" i="2"/>
  <c r="I12" i="2" s="1"/>
  <c r="D12" i="2" s="1"/>
  <c r="G48" i="2"/>
  <c r="H101" i="1" s="1"/>
  <c r="H36" i="2"/>
  <c r="I36" i="2" s="1"/>
  <c r="D36" i="2" s="1"/>
  <c r="G39" i="2"/>
  <c r="H86" i="1" s="1"/>
  <c r="G58" i="2"/>
  <c r="H134" i="1" s="1"/>
  <c r="H7" i="2"/>
  <c r="I7" i="2" s="1"/>
  <c r="D7" i="2" s="1"/>
  <c r="H140" i="1"/>
  <c r="I69" i="9" a="1"/>
  <c r="I69" i="9" s="1"/>
  <c r="W25" i="9" a="1"/>
  <c r="W25" i="9" s="1"/>
  <c r="U25" i="9" a="1"/>
  <c r="U25" i="9" s="1"/>
  <c r="R25" i="9" a="1"/>
  <c r="R25" i="9" s="1"/>
  <c r="X25" i="9" a="1"/>
  <c r="X25" i="9" s="1"/>
  <c r="S25" i="9" a="1"/>
  <c r="S25" i="9" s="1"/>
  <c r="Y25" i="9" a="1"/>
  <c r="Y25" i="9" s="1"/>
  <c r="T25" i="9" a="1"/>
  <c r="T25" i="9" s="1"/>
  <c r="V25" i="9" a="1"/>
  <c r="V25" i="9" s="1"/>
  <c r="J69" i="9" a="1"/>
  <c r="J69" i="9" s="1"/>
  <c r="H69" i="9" a="1"/>
  <c r="H69" i="9" s="1"/>
  <c r="G69" i="9" a="1"/>
  <c r="G69" i="9" s="1"/>
  <c r="L69" i="9"/>
  <c r="A22" i="20"/>
  <c r="AA25" i="9"/>
  <c r="B22" i="20" s="1"/>
  <c r="H64" i="9" a="1"/>
  <c r="H64" i="9" s="1"/>
  <c r="C92" i="9"/>
  <c r="R13" i="9" s="1" a="1"/>
  <c r="R13" i="9" s="1"/>
  <c r="C87" i="9"/>
  <c r="R8" i="9" s="1" a="1"/>
  <c r="R8" i="9" s="1"/>
  <c r="Y20" i="9" a="1"/>
  <c r="Y20" i="9" s="1"/>
  <c r="G87" i="9"/>
  <c r="V8" i="9" s="1" a="1"/>
  <c r="V8" i="9" s="1"/>
  <c r="Y21" i="9" a="1"/>
  <c r="Y21" i="9" s="1"/>
  <c r="L63" i="9"/>
  <c r="Y6" i="9" a="1"/>
  <c r="Y6" i="9" s="1"/>
  <c r="G58" i="9" a="1"/>
  <c r="G58" i="9" s="1"/>
  <c r="L58" i="9"/>
  <c r="T23" i="9" a="1"/>
  <c r="T23" i="9" s="1"/>
  <c r="X7" i="9" a="1"/>
  <c r="X7" i="9" s="1"/>
  <c r="J67" i="9" a="1"/>
  <c r="J67" i="9" s="1"/>
  <c r="E88" i="9"/>
  <c r="T9" i="9" s="1" a="1"/>
  <c r="T9" i="9" s="1"/>
  <c r="E98" i="9"/>
  <c r="T19" i="9" s="1" a="1"/>
  <c r="T19" i="9" s="1"/>
  <c r="F85" i="9"/>
  <c r="U6" i="9" s="1" a="1"/>
  <c r="U6" i="9" s="1"/>
  <c r="D89" i="9"/>
  <c r="S10" i="9" s="1" a="1"/>
  <c r="S10" i="9" s="1"/>
  <c r="Y16" i="9" a="1"/>
  <c r="Y16" i="9" s="1"/>
  <c r="X20" i="9" a="1"/>
  <c r="X20" i="9" s="1"/>
  <c r="G97" i="9"/>
  <c r="V18" i="9" s="1" a="1"/>
  <c r="V18" i="9" s="1"/>
  <c r="S21" i="9" a="1"/>
  <c r="S21" i="9" s="1"/>
  <c r="F96" i="9"/>
  <c r="U17" i="9" s="1" a="1"/>
  <c r="U17" i="9" s="1"/>
  <c r="R22" i="9" a="1"/>
  <c r="R22" i="9" s="1"/>
  <c r="L90" i="9"/>
  <c r="AA11" i="9" s="1"/>
  <c r="I50" i="9" a="1"/>
  <c r="I50" i="9" s="1"/>
  <c r="I56" i="9" a="1"/>
  <c r="I56" i="9" s="1"/>
  <c r="H61" i="9" a="1"/>
  <c r="H61" i="9" s="1"/>
  <c r="J50" i="9" a="1"/>
  <c r="J50" i="9" s="1"/>
  <c r="X6" i="9" a="1"/>
  <c r="X6" i="9" s="1"/>
  <c r="H94" i="9"/>
  <c r="W15" i="9" s="1" a="1"/>
  <c r="W15" i="9" s="1"/>
  <c r="S24" i="9" a="1"/>
  <c r="S24" i="9" s="1"/>
  <c r="Y23" i="9" a="1"/>
  <c r="Y23" i="9" s="1"/>
  <c r="C93" i="9"/>
  <c r="R14" i="9" s="1" a="1"/>
  <c r="R14" i="9" s="1"/>
  <c r="G88" i="9"/>
  <c r="V9" i="9" s="1" a="1"/>
  <c r="V9" i="9" s="1"/>
  <c r="I68" i="9" a="1"/>
  <c r="I68" i="9" s="1"/>
  <c r="H89" i="9"/>
  <c r="W10" i="9" s="1" a="1"/>
  <c r="W10" i="9" s="1"/>
  <c r="E89" i="9"/>
  <c r="T10" i="9" s="1" a="1"/>
  <c r="T10" i="9" s="1"/>
  <c r="L91" i="9"/>
  <c r="B3" i="9"/>
  <c r="C3" i="9" s="1"/>
  <c r="X22" i="9" a="1"/>
  <c r="X22" i="9" s="1"/>
  <c r="X16" i="9" a="1"/>
  <c r="X16" i="9" s="1"/>
  <c r="L87" i="9"/>
  <c r="AA8" i="9" s="1"/>
  <c r="L57" i="9"/>
  <c r="J63" i="9" a="1"/>
  <c r="J63" i="9" s="1"/>
  <c r="Y18" i="9" a="1"/>
  <c r="Y18" i="9" s="1"/>
  <c r="X24" i="9" a="1"/>
  <c r="X24" i="9" s="1"/>
  <c r="B11" i="9"/>
  <c r="B9" i="9"/>
  <c r="E9" i="9" s="1"/>
  <c r="G57" i="9" a="1"/>
  <c r="G57" i="9" s="1"/>
  <c r="D91" i="9"/>
  <c r="S12" i="9" s="1" a="1"/>
  <c r="S12" i="9" s="1"/>
  <c r="H92" i="9"/>
  <c r="W13" i="9" s="1" a="1"/>
  <c r="W13" i="9" s="1"/>
  <c r="L93" i="9"/>
  <c r="AA14" i="9" s="1"/>
  <c r="C90" i="9"/>
  <c r="R11" i="9" s="1" a="1"/>
  <c r="R11" i="9" s="1"/>
  <c r="L99" i="9"/>
  <c r="AA20" i="9" s="1"/>
  <c r="L55" i="9"/>
  <c r="L86" i="9"/>
  <c r="H62" i="9" a="1"/>
  <c r="H62" i="9" s="1"/>
  <c r="E99" i="9"/>
  <c r="T20" i="9" s="1" a="1"/>
  <c r="T20" i="9" s="1"/>
  <c r="G53" i="9" a="1"/>
  <c r="G53" i="9" s="1"/>
  <c r="L61" i="9"/>
  <c r="H57" i="9" a="1"/>
  <c r="H57" i="9" s="1"/>
  <c r="J60" i="9" a="1"/>
  <c r="J60" i="9" s="1"/>
  <c r="L51" i="9"/>
  <c r="F92" i="9"/>
  <c r="U13" i="9" s="1" a="1"/>
  <c r="U13" i="9" s="1"/>
  <c r="E87" i="9"/>
  <c r="T8" i="9" s="1" a="1"/>
  <c r="T8" i="9" s="1"/>
  <c r="G86" i="9"/>
  <c r="I55" i="9" a="1"/>
  <c r="I55" i="9" s="1"/>
  <c r="L53" i="9"/>
  <c r="U23" i="9" a="1"/>
  <c r="U23" i="9" s="1"/>
  <c r="Y14" i="9" a="1"/>
  <c r="Y14" i="9" s="1"/>
  <c r="D99" i="9"/>
  <c r="S20" i="9" s="1" a="1"/>
  <c r="S20" i="9" s="1"/>
  <c r="C88" i="9"/>
  <c r="R9" i="9" s="1" a="1"/>
  <c r="R9" i="9" s="1"/>
  <c r="S22" i="9" a="1"/>
  <c r="S22" i="9" s="1"/>
  <c r="W24" i="9" a="1"/>
  <c r="W24" i="9" s="1"/>
  <c r="J52" i="9" a="1"/>
  <c r="J52" i="9" s="1"/>
  <c r="W22" i="9" a="1"/>
  <c r="W22" i="9" s="1"/>
  <c r="H47" i="2"/>
  <c r="I47" i="2" s="1"/>
  <c r="D47" i="2" s="1"/>
  <c r="G23" i="2"/>
  <c r="H60" i="1" s="1"/>
  <c r="G21" i="2"/>
  <c r="H58" i="1" s="1"/>
  <c r="G54" i="2"/>
  <c r="H113" i="1" s="1"/>
  <c r="G4" i="2"/>
  <c r="H43" i="2"/>
  <c r="I43" i="2" s="1"/>
  <c r="D43" i="2" s="1"/>
  <c r="G10" i="2"/>
  <c r="G5" i="2"/>
  <c r="H35" i="1" s="1"/>
  <c r="G53" i="2"/>
  <c r="G20" i="2"/>
  <c r="G28" i="2"/>
  <c r="H67" i="1" s="1"/>
  <c r="G56" i="2"/>
  <c r="H116" i="1" s="1"/>
  <c r="H35" i="2"/>
  <c r="I35" i="2" s="1"/>
  <c r="D35" i="2" s="1"/>
  <c r="H39" i="2"/>
  <c r="I39" i="2" s="1"/>
  <c r="D39" i="2" s="1"/>
  <c r="H119" i="1"/>
  <c r="G30" i="2"/>
  <c r="H72" i="1" s="1"/>
  <c r="G16" i="2"/>
  <c r="H50" i="1" s="1"/>
  <c r="G40" i="2"/>
  <c r="H20" i="2"/>
  <c r="I20" i="2" s="1"/>
  <c r="D20" i="2" s="1"/>
  <c r="H98" i="1"/>
  <c r="H107" i="1"/>
  <c r="H42" i="1"/>
  <c r="H44" i="1"/>
  <c r="H127" i="1"/>
  <c r="H126" i="1"/>
  <c r="H64" i="1"/>
  <c r="H88" i="1"/>
  <c r="H89" i="1"/>
  <c r="H69" i="1"/>
  <c r="G17" i="2"/>
  <c r="H51" i="1" s="1"/>
  <c r="H16" i="2"/>
  <c r="I16" i="2" s="1"/>
  <c r="D16" i="2" s="1"/>
  <c r="H44" i="2"/>
  <c r="I44" i="2" s="1"/>
  <c r="D44" i="2" s="1"/>
  <c r="G33" i="2"/>
  <c r="H78" i="1" s="1"/>
  <c r="G55" i="2"/>
  <c r="G62" i="2"/>
  <c r="H40" i="2"/>
  <c r="I40" i="2" s="1"/>
  <c r="D40" i="2" s="1"/>
  <c r="H29" i="2"/>
  <c r="I29" i="2" s="1"/>
  <c r="D29" i="2" s="1"/>
  <c r="G13" i="2"/>
  <c r="H47" i="1" s="1"/>
  <c r="G19" i="2"/>
  <c r="G41" i="2"/>
  <c r="H94" i="1" s="1"/>
  <c r="G34" i="2"/>
  <c r="H91" i="1" s="1"/>
  <c r="H54" i="2"/>
  <c r="I54" i="2" s="1"/>
  <c r="D54" i="2" s="1"/>
  <c r="G50" i="2"/>
  <c r="H106" i="1" s="1"/>
  <c r="G27" i="2"/>
  <c r="G24" i="2"/>
  <c r="H61" i="1" s="1"/>
  <c r="H76" i="1"/>
  <c r="H60" i="2"/>
  <c r="I60" i="2" s="1"/>
  <c r="D60" i="2" s="1"/>
  <c r="G46" i="2"/>
  <c r="H99" i="1" s="1"/>
  <c r="H26" i="2"/>
  <c r="I26" i="2" s="1"/>
  <c r="D26" i="2" s="1"/>
  <c r="H45" i="2"/>
  <c r="I45" i="2" s="1"/>
  <c r="D45" i="2" s="1"/>
  <c r="H58" i="2"/>
  <c r="I58" i="2" s="1"/>
  <c r="D58" i="2" s="1"/>
  <c r="H38" i="2"/>
  <c r="I38" i="2" s="1"/>
  <c r="D38" i="2" s="1"/>
  <c r="G9" i="2"/>
  <c r="H41" i="1" s="1"/>
  <c r="G37" i="2"/>
  <c r="H42" i="2"/>
  <c r="I42" i="2" s="1"/>
  <c r="D42" i="2" s="1"/>
  <c r="G25" i="2"/>
  <c r="Z28" i="9"/>
  <c r="AB28" i="9" s="1"/>
  <c r="C25" i="20" s="1"/>
  <c r="D92" i="9"/>
  <c r="S13" i="9" s="1" a="1"/>
  <c r="S13" i="9" s="1"/>
  <c r="F95" i="9"/>
  <c r="U16" i="9" s="1" a="1"/>
  <c r="U16" i="9" s="1"/>
  <c r="L85" i="9"/>
  <c r="AA6" i="9" s="1"/>
  <c r="E86" i="9"/>
  <c r="T7" i="9" s="1" a="1"/>
  <c r="T7" i="9" s="1"/>
  <c r="T21" i="9" a="1"/>
  <c r="T21" i="9" s="1"/>
  <c r="E97" i="9"/>
  <c r="T18" i="9" s="1" a="1"/>
  <c r="T18" i="9" s="1"/>
  <c r="E96" i="9"/>
  <c r="T17" i="9" s="1" a="1"/>
  <c r="T17" i="9" s="1"/>
  <c r="L67" i="9"/>
  <c r="H60" i="9" a="1"/>
  <c r="H60" i="9" s="1"/>
  <c r="G89" i="9"/>
  <c r="G96" i="9"/>
  <c r="V17" i="9" s="1" a="1"/>
  <c r="V17" i="9" s="1"/>
  <c r="L50" i="9"/>
  <c r="J62" i="9" a="1"/>
  <c r="J62" i="9" s="1"/>
  <c r="L88" i="9"/>
  <c r="AA9" i="9" s="1"/>
  <c r="C85" i="9"/>
  <c r="R6" i="9" s="1" a="1"/>
  <c r="R6" i="9" s="1"/>
  <c r="H67" i="9" a="1"/>
  <c r="H67" i="9" s="1"/>
  <c r="E95" i="9"/>
  <c r="T16" i="9" s="1" a="1"/>
  <c r="T16" i="9" s="1"/>
  <c r="Y8" i="9" a="1"/>
  <c r="Y8" i="9" s="1"/>
  <c r="D86" i="9"/>
  <c r="S7" i="9" s="1" a="1"/>
  <c r="S7" i="9" s="1"/>
  <c r="H93" i="9"/>
  <c r="W14" i="9" s="1" a="1"/>
  <c r="W14" i="9" s="1"/>
  <c r="E90" i="9"/>
  <c r="T11" i="9" s="1" a="1"/>
  <c r="T11" i="9" s="1"/>
  <c r="F89" i="9"/>
  <c r="U10" i="9" s="1" a="1"/>
  <c r="U10" i="9" s="1"/>
  <c r="F94" i="9"/>
  <c r="U15" i="9" s="1" a="1"/>
  <c r="U15" i="9" s="1"/>
  <c r="H88" i="9"/>
  <c r="W9" i="9" s="1" a="1"/>
  <c r="W9" i="9" s="1"/>
  <c r="F97" i="9"/>
  <c r="U18" i="9" s="1" a="1"/>
  <c r="U18" i="9" s="1"/>
  <c r="L54" i="9"/>
  <c r="G95" i="9"/>
  <c r="V16" i="9" s="1" a="1"/>
  <c r="V16" i="9" s="1"/>
  <c r="F87" i="9"/>
  <c r="U8" i="9" s="1" a="1"/>
  <c r="U8" i="9" s="1"/>
  <c r="B6" i="9"/>
  <c r="L60" i="9"/>
  <c r="C89" i="9"/>
  <c r="R10" i="9" s="1" a="1"/>
  <c r="R10" i="9" s="1"/>
  <c r="D94" i="9"/>
  <c r="S15" i="9" s="1" a="1"/>
  <c r="S15" i="9" s="1"/>
  <c r="J68" i="9" a="1"/>
  <c r="J68" i="9" s="1"/>
  <c r="I62" i="9" a="1"/>
  <c r="I62" i="9" s="1"/>
  <c r="H54" i="9" a="1"/>
  <c r="H54" i="9" s="1"/>
  <c r="G92" i="9"/>
  <c r="V24" i="9" a="1"/>
  <c r="V24" i="9" s="1"/>
  <c r="Z24" i="9" s="1"/>
  <c r="F98" i="9"/>
  <c r="U19" i="9" s="1" a="1"/>
  <c r="U19" i="9" s="1"/>
  <c r="J56" i="9" a="1"/>
  <c r="J56" i="9" s="1"/>
  <c r="I60" i="9" a="1"/>
  <c r="I60" i="9" s="1"/>
  <c r="I51" i="9" a="1"/>
  <c r="I51" i="9" s="1"/>
  <c r="T22" i="9" a="1"/>
  <c r="T22" i="9" s="1"/>
  <c r="E85" i="9"/>
  <c r="T6" i="9" s="1" a="1"/>
  <c r="T6" i="9" s="1"/>
  <c r="H90" i="9"/>
  <c r="W11" i="9" s="1" a="1"/>
  <c r="W11" i="9" s="1"/>
  <c r="B13" i="9"/>
  <c r="C13" i="9" s="1"/>
  <c r="G62" i="9" a="1"/>
  <c r="G62" i="9" s="1"/>
  <c r="G56" i="9" a="1"/>
  <c r="G56" i="9" s="1"/>
  <c r="R23" i="9" a="1"/>
  <c r="R23" i="9" s="1"/>
  <c r="Y24" i="9" a="1"/>
  <c r="Y24" i="9" s="1"/>
  <c r="L98" i="9"/>
  <c r="AA19" i="9" s="1"/>
  <c r="G98" i="9"/>
  <c r="V19" i="9" s="1" a="1"/>
  <c r="V19" i="9" s="1"/>
  <c r="H85" i="9"/>
  <c r="W6" i="9" s="1" a="1"/>
  <c r="W6" i="9" s="1"/>
  <c r="X23" i="9" a="1"/>
  <c r="X23" i="9" s="1"/>
  <c r="J59" i="9" a="1"/>
  <c r="J59" i="9" s="1"/>
  <c r="I52" i="9" a="1"/>
  <c r="I52" i="9" s="1"/>
  <c r="G68" i="9" a="1"/>
  <c r="G68" i="9" s="1"/>
  <c r="L62" i="9"/>
  <c r="D97" i="9"/>
  <c r="S18" i="9" s="1" a="1"/>
  <c r="S18" i="9" s="1"/>
  <c r="I66" i="9" a="1"/>
  <c r="I66" i="9" s="1"/>
  <c r="J65" i="9" a="1"/>
  <c r="J65" i="9" s="1"/>
  <c r="U22" i="9" a="1"/>
  <c r="U22" i="9" s="1"/>
  <c r="L56" i="9"/>
  <c r="I67" i="9" a="1"/>
  <c r="I67" i="9" s="1"/>
  <c r="V22" i="9" a="1"/>
  <c r="V22" i="9" s="1"/>
  <c r="C94" i="9"/>
  <c r="R15" i="9" s="1" a="1"/>
  <c r="R15" i="9" s="1"/>
  <c r="H68" i="9" a="1"/>
  <c r="H68" i="9" s="1"/>
  <c r="J54" i="9" a="1"/>
  <c r="J54" i="9" s="1"/>
  <c r="G94" i="9"/>
  <c r="V15" i="9" s="1" a="1"/>
  <c r="V15" i="9" s="1"/>
  <c r="Y15" i="9" a="1"/>
  <c r="Y15" i="9" s="1"/>
  <c r="H51" i="9" a="1"/>
  <c r="H51" i="9" s="1"/>
  <c r="D96" i="9"/>
  <c r="S17" i="9" s="1" a="1"/>
  <c r="S17" i="9" s="1"/>
  <c r="X11" i="9" a="1"/>
  <c r="X11" i="9" s="1"/>
  <c r="Y10" i="9" a="1"/>
  <c r="Y10" i="9" s="1"/>
  <c r="T24" i="9" a="1"/>
  <c r="T24" i="9" s="1"/>
  <c r="I63" i="9" a="1"/>
  <c r="I63" i="9" s="1"/>
  <c r="B16" i="9"/>
  <c r="E16" i="9" s="1"/>
  <c r="H66" i="9" a="1"/>
  <c r="H66" i="9" s="1"/>
  <c r="I65" i="9" a="1"/>
  <c r="I65" i="9" s="1"/>
  <c r="X12" i="9" a="1"/>
  <c r="X12" i="9" s="1"/>
  <c r="B10" i="9"/>
  <c r="C10" i="9" s="1"/>
  <c r="C95" i="9"/>
  <c r="R16" i="9" s="1" a="1"/>
  <c r="R16" i="9" s="1"/>
  <c r="D85" i="9"/>
  <c r="S6" i="9" s="1" a="1"/>
  <c r="S6" i="9" s="1"/>
  <c r="Y7" i="9" a="1"/>
  <c r="Y7" i="9" s="1"/>
  <c r="L89" i="9"/>
  <c r="AA10" i="9" s="1"/>
  <c r="X13" i="9" a="1"/>
  <c r="X13" i="9" s="1"/>
  <c r="U21" i="9" a="1"/>
  <c r="U21" i="9" s="1"/>
  <c r="X19" i="9" a="1"/>
  <c r="X19" i="9" s="1"/>
  <c r="L92" i="9"/>
  <c r="AA13" i="9" s="1"/>
  <c r="L96" i="9"/>
  <c r="I59" i="9" a="1"/>
  <c r="I59" i="9" s="1"/>
  <c r="H52" i="9" a="1"/>
  <c r="H52" i="9" s="1"/>
  <c r="L68" i="9"/>
  <c r="E93" i="9"/>
  <c r="T14" i="9" s="1" a="1"/>
  <c r="T14" i="9" s="1"/>
  <c r="C86" i="9"/>
  <c r="R7" i="9" s="1" a="1"/>
  <c r="R7" i="9" s="1"/>
  <c r="G65" i="9" a="1"/>
  <c r="G65" i="9" s="1"/>
  <c r="C97" i="9"/>
  <c r="R18" i="9" s="1" a="1"/>
  <c r="R18" i="9" s="1"/>
  <c r="C99" i="9"/>
  <c r="R20" i="9" s="1" a="1"/>
  <c r="R20" i="9" s="1"/>
  <c r="Y19" i="9" a="1"/>
  <c r="Y19" i="9" s="1"/>
  <c r="A14" i="21"/>
  <c r="B14" i="21" s="1"/>
  <c r="B7" i="9"/>
  <c r="E7" i="9" s="1" a="1"/>
  <c r="E7" i="9" s="1"/>
  <c r="E92" i="9"/>
  <c r="T13" i="9" s="1" a="1"/>
  <c r="T13" i="9" s="1"/>
  <c r="B18" i="9"/>
  <c r="C18" i="9" s="1"/>
  <c r="U24" i="9" a="1"/>
  <c r="U24" i="9" s="1"/>
  <c r="X14" i="9" a="1"/>
  <c r="X14" i="9" s="1"/>
  <c r="E91" i="9"/>
  <c r="T12" i="9" s="1" a="1"/>
  <c r="T12" i="9" s="1"/>
  <c r="J55" i="9" a="1"/>
  <c r="J55" i="9" s="1"/>
  <c r="X17" i="9" a="1"/>
  <c r="X17" i="9" s="1"/>
  <c r="G63" i="9" a="1"/>
  <c r="G63" i="9" s="1"/>
  <c r="H95" i="9"/>
  <c r="W16" i="9" s="1" a="1"/>
  <c r="W16" i="9" s="1"/>
  <c r="H59" i="9" a="1"/>
  <c r="H59" i="9" s="1"/>
  <c r="G52" i="9" a="1"/>
  <c r="G52" i="9" s="1"/>
  <c r="R24" i="9" a="1"/>
  <c r="R24" i="9" s="1"/>
  <c r="B17" i="9"/>
  <c r="C17" i="9" s="1"/>
  <c r="H87" i="9"/>
  <c r="W8" i="9" s="1" a="1"/>
  <c r="W8" i="9" s="1"/>
  <c r="L66" i="9"/>
  <c r="L65" i="9"/>
  <c r="X8" i="9" a="1"/>
  <c r="X8" i="9" s="1"/>
  <c r="Y9" i="9" a="1"/>
  <c r="Y9" i="9" s="1"/>
  <c r="D98" i="9"/>
  <c r="S19" i="9" s="1" a="1"/>
  <c r="S19" i="9" s="1"/>
  <c r="D87" i="9"/>
  <c r="S8" i="9" s="1" a="1"/>
  <c r="S8" i="9" s="1"/>
  <c r="C96" i="9"/>
  <c r="R17" i="9" s="1" a="1"/>
  <c r="R17" i="9" s="1"/>
  <c r="I61" i="9" a="1"/>
  <c r="I61" i="9" s="1"/>
  <c r="G99" i="9"/>
  <c r="V20" i="9" s="1" a="1"/>
  <c r="V20" i="9" s="1"/>
  <c r="L94" i="9"/>
  <c r="AA15" i="9" s="1"/>
  <c r="B15" i="9"/>
  <c r="C15" i="9" s="1"/>
  <c r="B12" i="9"/>
  <c r="E12" i="9" s="1"/>
  <c r="F93" i="9"/>
  <c r="U14" i="9" s="1" a="1"/>
  <c r="U14" i="9" s="1"/>
  <c r="J61" i="9" a="1"/>
  <c r="J61" i="9" s="1"/>
  <c r="Y13" i="9" a="1"/>
  <c r="Y13" i="9" s="1"/>
  <c r="F86" i="9"/>
  <c r="U7" i="9" s="1" a="1"/>
  <c r="U7" i="9" s="1"/>
  <c r="Y12" i="9" a="1"/>
  <c r="Y12" i="9" s="1"/>
  <c r="H55" i="9" a="1"/>
  <c r="H55" i="9" s="1"/>
  <c r="H96" i="9"/>
  <c r="W17" i="9" s="1" a="1"/>
  <c r="W17" i="9" s="1"/>
  <c r="H63" i="9" a="1"/>
  <c r="H63" i="9" s="1"/>
  <c r="G91" i="9"/>
  <c r="V12" i="9" s="1" a="1"/>
  <c r="V12" i="9" s="1"/>
  <c r="L59" i="9"/>
  <c r="L52" i="9"/>
  <c r="B5" i="9"/>
  <c r="E5" i="9" s="1"/>
  <c r="X15" i="9" a="1"/>
  <c r="X15" i="9" s="1"/>
  <c r="F90" i="9"/>
  <c r="U11" i="9" s="1" a="1"/>
  <c r="U11" i="9" s="1"/>
  <c r="B8" i="9"/>
  <c r="C8" i="9" s="1"/>
  <c r="H99" i="9"/>
  <c r="W20" i="9" s="1" a="1"/>
  <c r="W20" i="9" s="1"/>
  <c r="E94" i="9"/>
  <c r="T15" i="9" s="1" a="1"/>
  <c r="T15" i="9" s="1"/>
  <c r="L97" i="9"/>
  <c r="AA18" i="9" s="1"/>
  <c r="X9" i="9" a="1"/>
  <c r="X9" i="9" s="1"/>
  <c r="J53" i="9" a="1"/>
  <c r="J53" i="9" s="1"/>
  <c r="J58" i="9" a="1"/>
  <c r="J58" i="9" s="1"/>
  <c r="J64" i="9" a="1"/>
  <c r="J64" i="9" s="1"/>
  <c r="Z30" i="9"/>
  <c r="AB30" i="9" s="1"/>
  <c r="C27" i="20" s="1"/>
  <c r="H97" i="9"/>
  <c r="W18" i="9" s="1" a="1"/>
  <c r="W18" i="9" s="1"/>
  <c r="J57" i="9" a="1"/>
  <c r="J57" i="9" s="1"/>
  <c r="H91" i="9"/>
  <c r="L95" i="9"/>
  <c r="G90" i="9"/>
  <c r="V11" i="9" s="1" a="1"/>
  <c r="V11" i="9" s="1"/>
  <c r="D95" i="9"/>
  <c r="S16" i="9" s="1" a="1"/>
  <c r="S16" i="9" s="1"/>
  <c r="H98" i="9"/>
  <c r="W19" i="9" s="1" a="1"/>
  <c r="W19" i="9" s="1"/>
  <c r="F88" i="9"/>
  <c r="U9" i="9" s="1" a="1"/>
  <c r="U9" i="9" s="1"/>
  <c r="Y17" i="9" a="1"/>
  <c r="Y17" i="9" s="1"/>
  <c r="I53" i="9" a="1"/>
  <c r="I53" i="9" s="1"/>
  <c r="I58" i="9" a="1"/>
  <c r="I58" i="9" s="1"/>
  <c r="I64" i="9" a="1"/>
  <c r="I64" i="9" s="1"/>
  <c r="D93" i="9"/>
  <c r="S14" i="9" s="1" a="1"/>
  <c r="S14" i="9" s="1"/>
  <c r="V21" i="9" a="1"/>
  <c r="V21" i="9" s="1"/>
  <c r="F99" i="9"/>
  <c r="U20" i="9" s="1" a="1"/>
  <c r="U20" i="9" s="1"/>
  <c r="G61" i="9" a="1"/>
  <c r="G61" i="9" s="1"/>
  <c r="C98" i="9"/>
  <c r="R19" i="9" s="1" a="1"/>
  <c r="R19" i="9" s="1"/>
  <c r="C91" i="9"/>
  <c r="R12" i="9" s="1" a="1"/>
  <c r="R12" i="9" s="1"/>
  <c r="R21" i="9" a="1"/>
  <c r="R21" i="9" s="1"/>
  <c r="D90" i="9"/>
  <c r="S11" i="9" s="1" a="1"/>
  <c r="S11" i="9" s="1"/>
  <c r="X18" i="9" a="1"/>
  <c r="X18" i="9" s="1"/>
  <c r="Y11" i="9" a="1"/>
  <c r="Y11" i="9" s="1"/>
  <c r="H86" i="9"/>
  <c r="W7" i="9" s="1" a="1"/>
  <c r="W7" i="9" s="1"/>
  <c r="D88" i="9"/>
  <c r="S9" i="9" s="1" a="1"/>
  <c r="S9" i="9" s="1"/>
  <c r="B14" i="9"/>
  <c r="I57" i="9" a="1"/>
  <c r="I57" i="9" s="1"/>
  <c r="B4" i="9"/>
  <c r="C4" i="9" s="1"/>
  <c r="F91" i="9"/>
  <c r="U12" i="9" s="1" a="1"/>
  <c r="U12" i="9" s="1"/>
  <c r="G93" i="9"/>
  <c r="V14" i="9" s="1" a="1"/>
  <c r="V14" i="9" s="1"/>
  <c r="G85" i="9"/>
  <c r="V6" i="9" s="1" a="1"/>
  <c r="V6" i="9" s="1"/>
  <c r="J51" i="9" a="1"/>
  <c r="J51" i="9" s="1"/>
  <c r="S23" i="9" a="1"/>
  <c r="S23" i="9" s="1"/>
  <c r="H53" i="9" a="1"/>
  <c r="H53" i="9" s="1"/>
  <c r="H58" i="9" a="1"/>
  <c r="H58" i="9" s="1"/>
  <c r="Z25" i="9"/>
  <c r="G67" i="9" a="1"/>
  <c r="G67" i="9" s="1"/>
  <c r="Z26" i="9"/>
  <c r="AB26" i="9" s="1"/>
  <c r="C23" i="20" s="1"/>
  <c r="G54" i="9" a="1"/>
  <c r="G54" i="9" s="1"/>
  <c r="W21" i="9" a="1"/>
  <c r="W21" i="9" s="1"/>
  <c r="X21" i="9" a="1"/>
  <c r="X21" i="9" s="1"/>
  <c r="A8" i="21"/>
  <c r="B8" i="21" s="1"/>
  <c r="E3" i="9"/>
  <c r="A9" i="20"/>
  <c r="A21" i="20"/>
  <c r="A12" i="21"/>
  <c r="B12" i="21" s="1"/>
  <c r="K92" i="9"/>
  <c r="A15" i="20"/>
  <c r="AA24" i="9"/>
  <c r="G51" i="9" a="1"/>
  <c r="G51" i="9" s="1"/>
  <c r="AA22" i="9"/>
  <c r="G66" i="9" a="1"/>
  <c r="G66" i="9" s="1"/>
  <c r="V23" i="9" a="1"/>
  <c r="V23" i="9" s="1"/>
  <c r="B49" i="9"/>
  <c r="F49" i="9" s="1" a="1"/>
  <c r="F49" i="9" s="1"/>
  <c r="Z31" i="9"/>
  <c r="AB31" i="9" s="1"/>
  <c r="C28" i="20" s="1"/>
  <c r="A17" i="21"/>
  <c r="B17" i="21" s="1"/>
  <c r="A4" i="20"/>
  <c r="A4" i="21"/>
  <c r="B4" i="21" s="1"/>
  <c r="A12" i="20"/>
  <c r="A3" i="20"/>
  <c r="A13" i="20"/>
  <c r="A7" i="20"/>
  <c r="A18" i="20"/>
  <c r="A3" i="21"/>
  <c r="B3" i="21" s="1"/>
  <c r="A6" i="20"/>
  <c r="A15" i="21"/>
  <c r="B15" i="21" s="1"/>
  <c r="A8" i="20"/>
  <c r="Q5" i="9"/>
  <c r="A11" i="20"/>
  <c r="A5" i="21"/>
  <c r="B5" i="21" s="1"/>
  <c r="AA23" i="9"/>
  <c r="A19" i="20"/>
  <c r="A10" i="20"/>
  <c r="A7" i="21"/>
  <c r="B7" i="21" s="1"/>
  <c r="A11" i="21"/>
  <c r="B11" i="21" s="1"/>
  <c r="A16" i="20"/>
  <c r="A13" i="21"/>
  <c r="B13" i="21" s="1"/>
  <c r="A10" i="21"/>
  <c r="B10" i="21" s="1"/>
  <c r="A16" i="21"/>
  <c r="B16" i="21" s="1"/>
  <c r="A18" i="21"/>
  <c r="B18" i="21" s="1"/>
  <c r="A17" i="20"/>
  <c r="J66" i="9" a="1"/>
  <c r="J66" i="9" s="1"/>
  <c r="Y22" i="9" a="1"/>
  <c r="Y22" i="9" s="1"/>
  <c r="K142" i="1"/>
  <c r="A5" i="20"/>
  <c r="A14" i="20"/>
  <c r="AA21" i="9"/>
  <c r="AA16" i="9"/>
  <c r="A20" i="20"/>
  <c r="A6" i="21"/>
  <c r="B6" i="21" s="1"/>
  <c r="Z33" i="9"/>
  <c r="AB33" i="9" s="1"/>
  <c r="AA12" i="9"/>
  <c r="Z29" i="9"/>
  <c r="AB29" i="9" s="1"/>
  <c r="C26" i="20" s="1"/>
  <c r="Z27" i="9"/>
  <c r="AB27" i="9" s="1"/>
  <c r="C24" i="20" s="1"/>
  <c r="AA7" i="9"/>
  <c r="G50" i="9" a="1"/>
  <c r="G50" i="9" s="1"/>
  <c r="G64" i="9" a="1"/>
  <c r="G64" i="9" s="1"/>
  <c r="I142" i="1" a="1"/>
  <c r="I142" i="1" s="1"/>
  <c r="AA17" i="9"/>
  <c r="W23" i="9" a="1"/>
  <c r="W23" i="9" s="1"/>
  <c r="V13" i="9" a="1"/>
  <c r="V13" i="9" s="1"/>
  <c r="H110" i="1"/>
  <c r="H111" i="1"/>
  <c r="H112" i="1"/>
  <c r="H120" i="1"/>
  <c r="H118" i="1"/>
  <c r="H87" i="1"/>
  <c r="H84" i="1"/>
  <c r="H90" i="1"/>
  <c r="H63" i="1"/>
  <c r="H62" i="1"/>
  <c r="H66" i="1"/>
  <c r="H109" i="1"/>
  <c r="H108" i="1"/>
  <c r="H114" i="1"/>
  <c r="H115" i="1"/>
  <c r="H56" i="1"/>
  <c r="H54" i="1"/>
  <c r="H80" i="1"/>
  <c r="H103" i="1"/>
  <c r="H68" i="1"/>
  <c r="H65" i="1"/>
  <c r="H75" i="1"/>
  <c r="H73" i="1"/>
  <c r="H71" i="1"/>
  <c r="H70" i="1"/>
  <c r="H74" i="1"/>
  <c r="H92" i="1"/>
  <c r="H93" i="1"/>
  <c r="H121" i="1"/>
  <c r="H123" i="1"/>
  <c r="H130" i="1"/>
  <c r="G11" i="2"/>
  <c r="H43" i="1" s="1"/>
  <c r="H53" i="2"/>
  <c r="I53" i="2" s="1"/>
  <c r="D53" i="2" s="1"/>
  <c r="H33" i="2"/>
  <c r="I33" i="2" s="1"/>
  <c r="D33" i="2" s="1"/>
  <c r="H28" i="2"/>
  <c r="I28" i="2" s="1"/>
  <c r="D28" i="2" s="1"/>
  <c r="G22" i="2"/>
  <c r="H59" i="1" s="1"/>
  <c r="G6" i="2"/>
  <c r="G18" i="2"/>
  <c r="H34" i="1"/>
  <c r="G14" i="2"/>
  <c r="H48" i="1" s="1"/>
  <c r="H55" i="2"/>
  <c r="I55" i="2" s="1"/>
  <c r="D55" i="2" s="1"/>
  <c r="H117" i="1"/>
  <c r="I54" i="9" a="1"/>
  <c r="I54" i="9" s="1"/>
  <c r="X10" i="9" a="1"/>
  <c r="X10" i="9" s="1"/>
  <c r="H50" i="9" a="1"/>
  <c r="H50" i="9" s="1"/>
  <c r="G55" i="9" a="1"/>
  <c r="G55" i="9" s="1"/>
  <c r="H65" i="9" a="1"/>
  <c r="H65" i="9" s="1"/>
  <c r="C11" i="9"/>
  <c r="E11" i="9"/>
  <c r="J6" i="1"/>
  <c r="J142" i="1" s="1" a="1"/>
  <c r="J142" i="1" s="1"/>
  <c r="K88" i="9"/>
  <c r="Z34" i="9"/>
  <c r="AB34" i="9" s="1"/>
  <c r="G60" i="9" a="1"/>
  <c r="G60" i="9" s="1"/>
  <c r="H56" i="9" a="1"/>
  <c r="H56" i="9" s="1"/>
  <c r="Z35" i="9"/>
  <c r="AB35" i="9" s="1"/>
  <c r="Z32" i="9"/>
  <c r="AB32" i="9" s="1"/>
  <c r="G59" i="9" a="1"/>
  <c r="G59" i="9" s="1"/>
  <c r="K6" i="6"/>
  <c r="E52" i="7"/>
  <c r="G23" i="15"/>
  <c r="I36" i="12"/>
  <c r="C43" i="12"/>
  <c r="H60" i="6"/>
  <c r="D35" i="18"/>
  <c r="C11" i="8" s="1"/>
  <c r="D35" i="14"/>
  <c r="C10" i="8" s="1"/>
  <c r="H20" i="7"/>
  <c r="E35" i="18"/>
  <c r="J35" i="14"/>
  <c r="C12" i="8" s="1"/>
  <c r="N7" i="17"/>
  <c r="P7" i="17" s="1"/>
  <c r="I60" i="6"/>
  <c r="K6" i="17"/>
  <c r="F472" i="17"/>
  <c r="D2" i="2"/>
  <c r="B14" i="20" l="1"/>
  <c r="B17" i="20"/>
  <c r="B5" i="20"/>
  <c r="B19" i="20"/>
  <c r="B12" i="20"/>
  <c r="B10" i="20"/>
  <c r="B18" i="20"/>
  <c r="B20" i="20"/>
  <c r="B3" i="20"/>
  <c r="B4" i="20"/>
  <c r="B16" i="20"/>
  <c r="B6" i="20"/>
  <c r="B21" i="20"/>
  <c r="B9" i="20"/>
  <c r="B15" i="20"/>
  <c r="B7" i="20"/>
  <c r="B8" i="20"/>
  <c r="B13" i="20"/>
  <c r="AB25" i="9"/>
  <c r="C22" i="20" s="1"/>
  <c r="K97" i="9"/>
  <c r="H82" i="1"/>
  <c r="H79" i="1"/>
  <c r="H45" i="1"/>
  <c r="H122" i="1"/>
  <c r="H128" i="1"/>
  <c r="H125" i="1"/>
  <c r="E18" i="9"/>
  <c r="C12" i="9"/>
  <c r="K69" i="9"/>
  <c r="M69" i="9" s="1"/>
  <c r="E15" i="9"/>
  <c r="K89" i="9"/>
  <c r="M89" i="9" s="1"/>
  <c r="C9" i="9"/>
  <c r="K65" i="9"/>
  <c r="M65" i="9" s="1"/>
  <c r="K86" i="9"/>
  <c r="M86" i="9" s="1"/>
  <c r="X5" i="9" a="1"/>
  <c r="X5" i="9" s="1"/>
  <c r="B2" i="9"/>
  <c r="C2" i="9" s="1"/>
  <c r="K57" i="9"/>
  <c r="M57" i="9" s="1"/>
  <c r="C7" i="9"/>
  <c r="K99" i="9"/>
  <c r="M99" i="9" s="1"/>
  <c r="V7" i="9" a="1"/>
  <c r="V7" i="9" s="1"/>
  <c r="Z7" i="9" s="1"/>
  <c r="AB7" i="9" s="1"/>
  <c r="C4" i="20" s="1"/>
  <c r="Z19" i="9"/>
  <c r="AB19" i="9" s="1"/>
  <c r="C16" i="20" s="1"/>
  <c r="K94" i="9"/>
  <c r="M94" i="9" s="1"/>
  <c r="M92" i="9"/>
  <c r="C16" i="9"/>
  <c r="K60" i="9"/>
  <c r="M60" i="9" s="1"/>
  <c r="Z22" i="9"/>
  <c r="AB22" i="9" s="1"/>
  <c r="C19" i="20" s="1"/>
  <c r="E17" i="9"/>
  <c r="K91" i="9"/>
  <c r="M91" i="9" s="1"/>
  <c r="W12" i="9" a="1"/>
  <c r="W12" i="9" s="1"/>
  <c r="Z12" i="9" s="1"/>
  <c r="AB12" i="9" s="1"/>
  <c r="C9" i="20" s="1"/>
  <c r="E10" i="9"/>
  <c r="E13" i="9"/>
  <c r="K53" i="9"/>
  <c r="M53" i="9" s="1"/>
  <c r="K63" i="9"/>
  <c r="M63" i="9" s="1"/>
  <c r="K67" i="9"/>
  <c r="M67" i="9" s="1"/>
  <c r="E49" i="9" a="1"/>
  <c r="E49" i="9" s="1"/>
  <c r="D49" i="9" a="1"/>
  <c r="D49" i="9" s="1"/>
  <c r="K98" i="9"/>
  <c r="M98" i="9" s="1"/>
  <c r="C14" i="19" a="1"/>
  <c r="C14" i="19" s="1"/>
  <c r="J49" i="9" a="1"/>
  <c r="J49" i="9" s="1"/>
  <c r="M88" i="9"/>
  <c r="L84" i="9"/>
  <c r="AA5" i="9" s="1"/>
  <c r="F84" i="9"/>
  <c r="U5" i="9" s="1" a="1"/>
  <c r="U5" i="9" s="1"/>
  <c r="D14" i="19" s="1" a="1"/>
  <c r="D14" i="19" s="1"/>
  <c r="C49" i="9" a="1"/>
  <c r="C49" i="9" s="1"/>
  <c r="K96" i="9"/>
  <c r="M96" i="9" s="1"/>
  <c r="C5" i="9"/>
  <c r="Z9" i="9"/>
  <c r="AB9" i="9" s="1"/>
  <c r="C6" i="20" s="1"/>
  <c r="Z17" i="9"/>
  <c r="AB17" i="9" s="1"/>
  <c r="C14" i="20" s="1"/>
  <c r="K56" i="9"/>
  <c r="M56" i="9" s="1"/>
  <c r="M97" i="9"/>
  <c r="K95" i="9"/>
  <c r="M95" i="9" s="1"/>
  <c r="Z16" i="9"/>
  <c r="AB16" i="9" s="1"/>
  <c r="C13" i="20" s="1"/>
  <c r="K52" i="9"/>
  <c r="M52" i="9" s="1"/>
  <c r="Z18" i="9"/>
  <c r="AB18" i="9" s="1"/>
  <c r="C15" i="20" s="1"/>
  <c r="Z20" i="9"/>
  <c r="AB20" i="9" s="1"/>
  <c r="C17" i="20" s="1"/>
  <c r="K68" i="9"/>
  <c r="M68" i="9" s="1"/>
  <c r="K51" i="9"/>
  <c r="M51" i="9" s="1"/>
  <c r="H57" i="1"/>
  <c r="H53" i="1"/>
  <c r="H132" i="1"/>
  <c r="H133" i="1"/>
  <c r="Z8" i="9"/>
  <c r="AB8" i="9" s="1"/>
  <c r="C5" i="20" s="1"/>
  <c r="K62" i="9"/>
  <c r="M62" i="9" s="1"/>
  <c r="K58" i="9"/>
  <c r="M58" i="9" s="1"/>
  <c r="K54" i="9"/>
  <c r="M54" i="9" s="1"/>
  <c r="K59" i="9"/>
  <c r="M59" i="9" s="1"/>
  <c r="K61" i="9"/>
  <c r="M61" i="9" s="1"/>
  <c r="K64" i="9"/>
  <c r="M64" i="9" s="1"/>
  <c r="Z14" i="9"/>
  <c r="AB14" i="9" s="1"/>
  <c r="C11" i="20" s="1"/>
  <c r="K93" i="9"/>
  <c r="M93" i="9" s="1"/>
  <c r="E4" i="9"/>
  <c r="E8" i="9"/>
  <c r="Z11" i="9"/>
  <c r="AB11" i="9" s="1"/>
  <c r="C8" i="20" s="1"/>
  <c r="Z6" i="9"/>
  <c r="AB6" i="9" s="1"/>
  <c r="C3" i="20" s="1"/>
  <c r="K55" i="9"/>
  <c r="M55" i="9" s="1"/>
  <c r="Z21" i="9"/>
  <c r="AB21" i="9" s="1"/>
  <c r="C18" i="20" s="1"/>
  <c r="C6" i="9"/>
  <c r="E6" i="9"/>
  <c r="E14" i="9"/>
  <c r="C14" i="9"/>
  <c r="Z15" i="9"/>
  <c r="AB15" i="9" s="1"/>
  <c r="C12" i="20" s="1"/>
  <c r="K85" i="9"/>
  <c r="M85" i="9" s="1"/>
  <c r="Z13" i="9"/>
  <c r="AB13" i="9" s="1"/>
  <c r="C10" i="20" s="1"/>
  <c r="C12" i="19" a="1"/>
  <c r="C12" i="19" s="1"/>
  <c r="V10" i="9" a="1"/>
  <c r="V10" i="9" s="1"/>
  <c r="Z10" i="9" s="1"/>
  <c r="AB10" i="9" s="1"/>
  <c r="C7" i="20" s="1"/>
  <c r="K90" i="9"/>
  <c r="M90" i="9" s="1"/>
  <c r="K87" i="9"/>
  <c r="M87" i="9" s="1"/>
  <c r="K66" i="9"/>
  <c r="M66" i="9" s="1"/>
  <c r="K50" i="9"/>
  <c r="M50" i="9" s="1"/>
  <c r="B11" i="20"/>
  <c r="AB24" i="9"/>
  <c r="C21" i="20" s="1"/>
  <c r="Z23" i="9"/>
  <c r="AB23" i="9" s="1"/>
  <c r="C20" i="20" s="1"/>
  <c r="A2" i="20"/>
  <c r="A2" i="21"/>
  <c r="B2" i="21" s="1"/>
  <c r="H49" i="9" a="1"/>
  <c r="H49" i="9" s="1"/>
  <c r="G84" i="9"/>
  <c r="V5" i="9" s="1" a="1"/>
  <c r="V5" i="9" s="1"/>
  <c r="Y5" i="9" a="1"/>
  <c r="Y5" i="9" s="1"/>
  <c r="E84" i="9"/>
  <c r="T5" i="9" s="1" a="1"/>
  <c r="T5" i="9" s="1"/>
  <c r="D12" i="19" s="1" a="1"/>
  <c r="D12" i="19" s="1"/>
  <c r="H84" i="9"/>
  <c r="W5" i="9" s="1" a="1"/>
  <c r="W5" i="9" s="1"/>
  <c r="C84" i="9"/>
  <c r="R5" i="9" s="1" a="1"/>
  <c r="R5" i="9" s="1"/>
  <c r="D8" i="19" s="1" a="1"/>
  <c r="D8" i="19" s="1"/>
  <c r="I49" i="9" a="1"/>
  <c r="I49" i="9" s="1"/>
  <c r="D84" i="9"/>
  <c r="S5" i="9" s="1" a="1"/>
  <c r="S5" i="9" s="1"/>
  <c r="D10" i="19" s="1" a="1"/>
  <c r="D10" i="19" s="1"/>
  <c r="G49" i="9" a="1"/>
  <c r="G49" i="9" s="1"/>
  <c r="L49" i="9"/>
  <c r="H55" i="1"/>
  <c r="H52" i="1"/>
  <c r="H37" i="1"/>
  <c r="H36" i="1"/>
  <c r="C9" i="8"/>
  <c r="C19" i="10"/>
  <c r="F35" i="18"/>
  <c r="H14" i="15"/>
  <c r="H23" i="15" s="1"/>
  <c r="F23" i="15"/>
  <c r="E18" i="19" l="1" a="1"/>
  <c r="E18" i="19" s="1"/>
  <c r="E2" i="9"/>
  <c r="E14" i="19"/>
  <c r="E12" i="19"/>
  <c r="K84" i="9"/>
  <c r="M84" i="9" s="1"/>
  <c r="Z5" i="9"/>
  <c r="AB5" i="9" s="1"/>
  <c r="C2" i="20" s="1"/>
  <c r="K49" i="9"/>
  <c r="C23" i="9" s="1"/>
  <c r="C3" i="10" s="1"/>
  <c r="C11" i="10" s="1"/>
  <c r="C13" i="10" s="1"/>
  <c r="C21" i="9"/>
  <c r="B2" i="20"/>
  <c r="C14" i="8"/>
  <c r="C4" i="10" s="1"/>
  <c r="E20" i="19" l="1" a="1"/>
  <c r="E20" i="19" s="1"/>
  <c r="M49" i="9"/>
  <c r="E16" i="19"/>
  <c r="C5" i="10"/>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<sst xmlns="http://schemas.openxmlformats.org/spreadsheetml/2006/main" count="2303" uniqueCount="476">
  <si>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</si>
  <si>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</si>
  <si>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</si>
  <si>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</si>
  <si>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</si>
  <si>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</si>
  <si>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</si>
  <si>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</si>
  <si>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</si>
  <si>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</si>
  <si>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</si>
  <si>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</si>
  <si>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</si>
  <si>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</si>
  <si>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</si>
  <si>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</si>
  <si>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</si>
  <si>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</si>
  <si>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</si>
  <si>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</si>
  <si>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</si>
  <si>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</si>
  <si>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</si>
  <si>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</si>
  <si>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</si>
  <si>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</si>
  <si>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</si>
  <si>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</si>
  <si>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</si>
  <si>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</si>
  <si>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</si>
  <si>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</si>
  <si>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</si>
  <si>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</si>
  <si>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</si>
  <si>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</si>
  <si>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</si>
  <si>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</si>
  <si>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</si>
  <si>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</si>
  <si>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</si>
  <si>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</si>
  <si>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</si>
  <si>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</si>
  <si>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</si>
  <si>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</si>
  <si>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</si>
  <si>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</si>
  <si>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</si>
  <si>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</si>
  <si>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</si>
  <si>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</si>
  <si>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</si>
  <si>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</si>
  <si>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</si>
  <si>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</si>
  <si>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</si>
  <si>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</si>
  <si>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</si>
  <si>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</si>
  <si>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</si>
  <si>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</si>
  <si>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</si>
  <si>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</si>
  <si>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</si>
  <si>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</si>
  <si>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</si>
  <si>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</si>
  <si>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</si>
  <si>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</si>
  <si>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</si>
  <si>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</si>
  <si>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</si>
  <si>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</si>
  <si>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</si>
  <si>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</si>
  <si>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</si>
  <si>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</si>
  <si>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</si>
  <si>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</si>
  <si>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</si>
  <si>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</si>
  <si>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</si>
  <si>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</si>
  <si>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</si>
  <si>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</si>
  <si>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</si>
  <si>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</si>
  <si>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</si>
  <si>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</si>
  <si>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</si>
  <si>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</si>
  <si>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</si>
  <si>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</si>
  <si>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</si>
  <si>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</si>
  <si>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</si>
  <si>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</si>
  <si>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</si>
  <si>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</si>
  <si>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</si>
  <si>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</si>
  <si>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</si>
  <si>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</si>
  <si>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</si>
  <si>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</si>
  <si>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</si>
  <si>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</si>
  <si>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</si>
  <si>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</si>
  <si>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</si>
  <si>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</si>
  <si>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</si>
  <si>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</si>
  <si>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</si>
  <si>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</si>
  <si>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</si>
  <si>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</si>
  <si>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</si>
  <si>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</si>
  <si>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</si>
  <si>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</si>
  <si>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</si>
  <si>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</si>
  <si>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</si>
  <si>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</si>
  <si>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</si>
  <si>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</si>
  <si>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</si>
  <si>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</si>
  <si>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</si>
  <si>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</si>
  <si>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</si>
  <si>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</si>
  <si>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</si>
  <si>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</si>
  <si>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</si>
  <si>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</si>
  <si>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</si>
  <si>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</si>
  <si>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</si>
  <si>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</si>
  <si>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</si>
  <si>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</si>
  <si>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</si>
  <si>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</si>
  <si>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</si>
  <si>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</si>
  <si>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</si>
  <si>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</si>
  <si>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</si>
  <si>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</si>
  <si>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</si>
  <si>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</si>
  <si>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</si>
  <si>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</si>
  <si>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</si>
  <si>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</si>
  <si>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</si>
  <si>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</si>
  <si>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</si>
  <si>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</si>
  <si>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</si>
  <si>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</si>
  <si>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</si>
  <si>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</si>
  <si>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</si>
  <si>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</si>
  <si>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</si>
  <si>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</si>
  <si>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</si>
  <si>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</si>
  <si>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</si>
  <si>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</si>
  <si>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</si>
  <si>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</si>
  <si>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</si>
  <si>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</si>
  <si>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</si>
  <si>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</si>
  <si>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</si>
  <si>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</si>
  <si>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</si>
  <si>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</si>
  <si>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</si>
  <si>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</si>
  <si>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</si>
  <si>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</si>
  <si>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</si>
  <si>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</si>
  <si>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</si>
  <si>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</si>
  <si>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</si>
  <si>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</si>
  <si>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</si>
  <si>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</si>
  <si>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</si>
  <si>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</si>
  <si>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</si>
  <si>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</si>
  <si>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</si>
  <si>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</si>
  <si>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</si>
  <si>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</si>
  <si>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</si>
  <si>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</si>
  <si>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</si>
  <si>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</si>
  <si>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</si>
  <si>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</si>
  <si>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</si>
  <si>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</si>
  <si>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</si>
  <si>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</si>
  <si>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</si>
  <si>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</si>
  <si>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</si>
  <si>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</si>
  <si>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</si>
  <si>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</si>
  <si>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</si>
  <si>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</si>
  <si>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</si>
  <si>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</si>
  <si>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</si>
  <si>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</si>
  <si>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</si>
  <si>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</si>
  <si>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</si>
  <si>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</si>
  <si>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</si>
  <si>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</si>
  <si>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</si>
  <si>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</si>
  <si>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</si>
  <si>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</si>
  <si>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</si>
  <si>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</si>
  <si>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</si>
  <si>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</si>
  <si>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</si>
  <si>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</si>
  <si>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</si>
  <si>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</si>
  <si>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</si>
  <si>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</si>
  <si>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</si>
  <si>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</si>
  <si>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</si>
  <si>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</si>
  <si>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</si>
  <si>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</si>
  <si>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</si>
  <si>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</si>
  <si>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</si>
  <si>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</si>
  <si>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</si>
  <si>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</si>
  <si>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</si>
  <si>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</si>
  <si>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</si>
  <si>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</si>
  <si>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</si>
  <si>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</si>
  <si>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</si>
  <si>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</si>
  <si>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</si>
  <si>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</si>
  <si>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</si>
  <si>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</si>
  <si>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</si>
  <si>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</si>
  <si>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</si>
  <si>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</si>
  <si>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</si>
  <si>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</si>
  <si>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</si>
  <si>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</si>
  <si>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</si>
  <si>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</si>
  <si>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</si>
  <si>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</si>
  <si>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</si>
  <si>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</si>
  <si>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</si>
  <si>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</si>
  <si>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</si>
  <si>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</si>
  <si>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</si>
  <si>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</si>
  <si>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</si>
  <si>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</si>
  <si>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</si>
  <si>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</si>
  <si>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</si>
  <si>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</si>
  <si>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</si>
  <si>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</si>
  <si>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</si>
  <si>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</si>
  <si>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</si>
  <si>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</si>
  <si>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</si>
  <si>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</si>
  <si>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</si>
  <si>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</si>
  <si>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</si>
  <si>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</si>
  <si>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</si>
  <si>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</si>
  <si>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</si>
  <si>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</si>
  <si>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</si>
  <si>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</si>
  <si>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</si>
  <si>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</si>
  <si>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</si>
  <si>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</si>
  <si>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</si>
  <si>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</si>
  <si>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</si>
  <si>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</si>
  <si>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</si>
  <si>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</si>
  <si>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</si>
  <si>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</si>
  <si>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</si>
  <si>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</si>
  <si>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</si>
  <si>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</si>
  <si>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</si>
  <si>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</si>
  <si>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</si>
  <si>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</si>
  <si>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</si>
  <si>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</si>
  <si>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</si>
  <si>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</si>
  <si>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</si>
  <si>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</si>
  <si>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</si>
  <si>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</si>
  <si>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</si>
  <si>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</si>
  <si>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</si>
  <si>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</si>
  <si>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</si>
  <si>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</si>
  <si>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</si>
  <si>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</si>
  <si>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</si>
  <si>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</si>
  <si>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</si>
  <si>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</si>
  <si>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</si>
  <si>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</si>
  <si>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</si>
  <si>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</si>
  <si>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</si>
  <si>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</si>
  <si>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</si>
  <si>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</si>
  <si>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</si>
  <si>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</si>
  <si>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</si>
  <si>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</si>
  <si>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</si>
  <si>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</si>
  <si>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</si>
  <si>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</si>
  <si>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</si>
  <si>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</si>
  <si>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</si>
  <si>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</si>
  <si>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</si>
  <si>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</si>
  <si>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</si>
  <si>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</si>
  <si>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</si>
  <si>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</si>
  <si>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</si>
  <si>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</si>
  <si>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</si>
  <si>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</si>
  <si>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</si>
  <si>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</si>
  <si>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</si>
  <si>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</si>
  <si>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</si>
  <si>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</si>
  <si>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</si>
  <si>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</si>
  <si>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</si>
  <si>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</si>
  <si>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</si>
  <si>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</si>
  <si>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</si>
  <si>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</si>
  <si>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</si>
  <si>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</si>
  <si>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</si>
  <si>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</si>
  <si>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</si>
  <si>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</si>
  <si>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</si>
  <si>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</si>
  <si>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</si>
  <si>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</si>
  <si>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</si>
  <si>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</si>
  <si>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</si>
  <si>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</si>
  <si>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</si>
  <si>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</si>
  <si>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</si>
  <si>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</si>
  <si>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</si>
  <si>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</si>
  <si>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</si>
  <si>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</si>
  <si>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</si>
  <si>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</si>
  <si>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</si>
  <si>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</si>
  <si>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</si>
  <si>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</si>
  <si>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</si>
  <si>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</si>
  <si>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</si>
  <si>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</si>
  <si>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</si>
  <si>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</si>
  <si>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</si>
  <si>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</si>
  <si>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</si>
  <si>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</si>
  <si>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</si>
  <si>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</si>
  <si>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</si>
  <si>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</si>
  <si>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</si>
  <si>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</si>
  <si>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</si>
  <si>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</si>
  <si>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</si>
  <si>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</si>
  <si>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</si>
  <si>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</si>
  <si>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</si>
  <si>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</si>
  <si>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</si>
  <si>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</si>
  <si>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</si>
  <si>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</si>
  <si>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</si>
  <si>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</si>
  <si>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</si>
  <si>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</si>
  <si>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</si>
  <si>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</si>
  <si>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</si>
  <si>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</si>
  <si>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</si>
  <si>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</si>
  <si>
    <t>credit</t>
  </si>
  <si>
    <t>Black,H3R,Rubine B,Navy</t>
  </si>
  <si>
    <t>ashraf boiler</t>
  </si>
  <si>
    <t>10k faysal, 90k cash</t>
  </si>
  <si>
    <t>TID:814742</t>
  </si>
  <si>
    <t>engine oil</t>
  </si>
  <si>
    <t>Black,Rubine,H3R,Navy</t>
  </si>
  <si>
    <t>Abbas boiler</t>
  </si>
  <si>
    <t>1848+1849</t>
  </si>
  <si>
    <t>Salman Zaffar</t>
  </si>
  <si>
    <t>1880+1885</t>
  </si>
  <si>
    <t>Starch-80bags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</si>
</sst>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xf numFmtId="0" fontId="0" fillId="0" borderId="0" xfId="0" applyNumberFormat="1"/>
  </cellXfs>
  <cellStyles count="2">
    <cellStyle name="Comma" xfId="1" builtinId="3"/>
    <cellStyle name="Normal" xfId="0" builtinId="0"/>
  </cellStyles>
  <dxfs count="132">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9</xdr:col>
      <xdr:colOff>1277216</xdr:colOff>
      <xdr:row>110</xdr:row>
      <xdr:rowOff>2672</xdr:rowOff>
    </xdr:from>
    <xdr:to>
      <xdr:col>14</xdr:col>
      <xdr:colOff>264202</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O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226854" createdVersion="8" refreshedVersion="8" minRefreshableVersion="3" recordCount="146"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d v="2025-11-17T00:00:00"/>
        <d v="2025-11-18T00:00:00"/>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891"/>
        <s v="1848+1849"/>
        <n v="1901"/>
        <n v="1873"/>
        <n v="1864"/>
        <n v="1879"/>
        <n v="1867"/>
        <s v="1880+1885"/>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3425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57407"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68981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8055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93305.59619604977"/>
    </cacheField>
    <cacheField name="Rate" numFmtId="0">
      <sharedItems containsString="0" containsBlank="1" containsNumber="1" minValue="10" maxValue="12"/>
    </cacheField>
    <cacheField name="Total" numFmtId="164">
      <sharedItems containsSemiMixedTypes="0" containsString="0" containsNumber="1" minValue="0" maxValue="5115173.738112655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921294"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23.381537087995198"/>
    <n v="6296.6349670812006"/>
    <n v="62966.349670812007"/>
    <m/>
  </r>
  <r>
    <x v="19"/>
    <x v="0"/>
    <x v="85"/>
    <s v="Chamki"/>
    <x v="49"/>
    <n v="59110"/>
    <n v="14792"/>
    <n v="1.7568821696421679"/>
    <n v="13525.969275786394"/>
    <n v="135259.69275786393"/>
    <m/>
  </r>
  <r>
    <x v="19"/>
    <x v="11"/>
    <x v="86"/>
    <s v="Chamki"/>
    <x v="53"/>
    <n v="69241"/>
    <n v="6195"/>
    <n v="23.381537087995198"/>
    <n v="5664.7768836869063"/>
    <n v="56647.768836869065"/>
    <m/>
  </r>
  <r>
    <x v="19"/>
    <x v="0"/>
    <x v="87"/>
    <s v="Chamki"/>
    <x v="49"/>
    <n v="59110"/>
    <n v="4824"/>
    <n v="1.7568821696421679"/>
    <n v="4411.1192392099492"/>
    <n v="44111.192392099489"/>
    <m/>
  </r>
  <r>
    <x v="19"/>
    <x v="0"/>
    <x v="88"/>
    <s v="Chamki"/>
    <x v="54"/>
    <n v="100762"/>
    <n v="18874"/>
    <n v="13.48840634656527"/>
    <n v="17258.595464520851"/>
    <n v="172585.95464520852"/>
    <m/>
  </r>
  <r>
    <x v="20"/>
    <x v="0"/>
    <x v="89"/>
    <s v="Chamki"/>
    <x v="54"/>
    <n v="100762"/>
    <n v="33547"/>
    <n v="13.48840634656527"/>
    <n v="30675.749817117779"/>
    <n v="306757.49817117781"/>
    <m/>
  </r>
  <r>
    <x v="20"/>
    <x v="0"/>
    <x v="90"/>
    <s v="Chamki"/>
    <x v="54"/>
    <n v="100762"/>
    <n v="15100"/>
    <n v="13.48840634656527"/>
    <n v="13807.607900512072"/>
    <n v="138076.07900512073"/>
    <m/>
  </r>
  <r>
    <x v="20"/>
    <x v="0"/>
    <x v="91"/>
    <s v="Chamki"/>
    <x v="55"/>
    <n v="9455"/>
    <n v="10202"/>
    <n v="1.3345083185783153"/>
    <n v="9328.8222384784203"/>
    <n v="93288.222384784196"/>
    <m/>
  </r>
  <r>
    <x v="20"/>
    <x v="0"/>
    <x v="92"/>
    <s v="Chamki"/>
    <x v="54"/>
    <n v="100762"/>
    <n v="23120"/>
    <n v="13.48840634656527"/>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3.48840634656527"/>
    <n v="1748.3540599853695"/>
    <n v="17483.540599853695"/>
    <m/>
  </r>
  <r>
    <x v="21"/>
    <x v="11"/>
    <x v="96"/>
    <s v="Chamki"/>
    <x v="53"/>
    <n v="69241"/>
    <n v="44936"/>
    <n v="23.381537087995198"/>
    <n v="41089.978054133142"/>
    <n v="410899.78054133139"/>
    <m/>
  </r>
  <r>
    <x v="21"/>
    <x v="0"/>
    <x v="97"/>
    <s v="Chamki"/>
    <x v="54"/>
    <n v="100762"/>
    <n v="2777"/>
    <n v="13.48840634656527"/>
    <n v="2539.3196781272864"/>
    <n v="25393.196781272862"/>
    <m/>
  </r>
  <r>
    <x v="21"/>
    <x v="10"/>
    <x v="98"/>
    <s v="Chamki"/>
    <x v="57"/>
    <n v="27696"/>
    <n v="29468"/>
    <n v="2.7084529833151407"/>
    <n v="26945.86686174104"/>
    <n v="269458.66861741041"/>
    <m/>
  </r>
  <r>
    <x v="21"/>
    <x v="2"/>
    <x v="99"/>
    <s v="Chamki"/>
    <x v="58"/>
    <n v="22145"/>
    <n v="10579"/>
    <n v="2.5426451285444358"/>
    <n v="9673.5552304316025"/>
    <n v="96735.552304316021"/>
    <m/>
  </r>
  <r>
    <x v="22"/>
    <x v="2"/>
    <x v="100"/>
    <s v="Chamki"/>
    <x v="58"/>
    <n v="22145"/>
    <n v="13023"/>
    <n v="2.5426451285444358"/>
    <m/>
    <m/>
    <m/>
  </r>
  <r>
    <x v="22"/>
    <x v="0"/>
    <x v="101"/>
    <s v="Chamki"/>
    <x v="54"/>
    <n v="100762"/>
    <n v="12227"/>
    <n v="13.48840634656527"/>
    <m/>
    <m/>
    <m/>
  </r>
  <r>
    <x v="22"/>
    <x v="15"/>
    <x v="102"/>
    <s v="Chamki"/>
    <x v="59"/>
    <n v="9400"/>
    <n v="10097"/>
    <s v="NF"/>
    <m/>
    <m/>
    <m/>
  </r>
  <r>
    <x v="22"/>
    <x v="1"/>
    <x v="103"/>
    <s v="Silky"/>
    <x v="60"/>
    <n v="24061"/>
    <n v="25274"/>
    <s v="NF"/>
    <m/>
    <m/>
    <m/>
  </r>
  <r>
    <x v="22"/>
    <x v="16"/>
    <x v="104"/>
    <s v="Silky"/>
    <x v="61"/>
    <n v="22025"/>
    <n v="23535"/>
    <s v="NF"/>
    <m/>
    <m/>
    <m/>
  </r>
  <r>
    <x v="22"/>
    <x v="16"/>
    <x v="105"/>
    <s v="Silky"/>
    <x v="62"/>
    <n v="42762"/>
    <n v="44484"/>
    <s v="NF"/>
    <m/>
    <m/>
    <m/>
  </r>
  <r>
    <x v="22"/>
    <x v="18"/>
    <x v="106"/>
    <s v="Silky"/>
    <x v="63"/>
    <n v="27099"/>
    <n v="28800"/>
    <s v="NF"/>
    <m/>
    <m/>
    <m/>
  </r>
  <r>
    <x v="23"/>
    <x v="18"/>
    <x v="107"/>
    <s v="Silky"/>
    <x v="11"/>
    <n v="18060"/>
    <n v="17475"/>
    <n v="91.584987374443145"/>
    <m/>
    <m/>
    <m/>
  </r>
  <r>
    <x v="23"/>
    <x v="19"/>
    <x v="108"/>
    <s v="Silky"/>
    <x v="64"/>
    <n v="15061"/>
    <n v="8370"/>
    <s v="NF"/>
    <m/>
    <m/>
    <m/>
  </r>
  <r>
    <x v="23"/>
    <x v="1"/>
    <x v="109"/>
    <s v="Silky"/>
    <x v="65"/>
    <n v="15147"/>
    <n v="16288"/>
    <s v="NF"/>
    <m/>
    <m/>
    <m/>
  </r>
  <r>
    <x v="23"/>
    <x v="19"/>
    <x v="110"/>
    <s v="Silky"/>
    <x v="64"/>
    <n v="15061"/>
    <n v="7850"/>
    <s v="NF"/>
    <m/>
    <m/>
    <m/>
  </r>
  <r>
    <x v="23"/>
    <x v="19"/>
    <x v="111"/>
    <s v="Silky"/>
    <x v="66"/>
    <n v="17020"/>
    <n v="3280"/>
    <s v="NF"/>
    <m/>
    <m/>
    <m/>
  </r>
  <r>
    <x v="23"/>
    <x v="19"/>
    <x v="112"/>
    <s v="Silky"/>
    <x v="66"/>
    <n v="17020"/>
    <n v="2238"/>
    <s v="NF"/>
    <m/>
    <m/>
    <m/>
  </r>
  <r>
    <x v="23"/>
    <x v="19"/>
    <x v="113"/>
    <s v="Silky"/>
    <x v="66"/>
    <n v="17020"/>
    <n v="7449"/>
    <s v="NF"/>
    <m/>
    <m/>
    <m/>
  </r>
  <r>
    <x v="23"/>
    <x v="19"/>
    <x v="114"/>
    <s v="Silky"/>
    <x v="66"/>
    <n v="17020"/>
    <n v="5162"/>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93305.59619604977"/>
    <n v="10"/>
    <n v="5115173.7381126555"/>
  </r>
  <r>
    <x v="1"/>
    <n v="123497.62253108999"/>
    <n v="10"/>
    <n v="1446799.5610826628"/>
  </r>
  <r>
    <x v="2"/>
    <n v="169859.18068763718"/>
    <n v="10"/>
    <n v="1698591.8068763718"/>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31043.343087051941"/>
    <m/>
    <n v="310433.43087051943"/>
  </r>
  <r>
    <x v="16"/>
    <n v="203168.43452816387"/>
    <m/>
    <n v="2402381.126554499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2:G268"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axis="axisPage" multipleItemSelectionAllowed="1" showAll="0">
      <items count="256">
        <item m="1" x="209"/>
        <item m="1" x="238"/>
        <item m="1" x="239"/>
        <item m="1" x="247"/>
        <item m="1" x="237"/>
        <item m="1" x="236"/>
        <item m="1" x="240"/>
        <item m="1" x="251"/>
        <item m="1" x="243"/>
        <item m="1" x="244"/>
        <item m="1" x="241"/>
        <item m="1" x="242"/>
        <item m="1" x="252"/>
        <item m="1" x="245"/>
        <item m="1" x="246"/>
        <item m="1" x="249"/>
        <item m="1" x="250"/>
        <item m="1" x="248"/>
        <item m="1" x="204"/>
        <item m="1" x="254"/>
        <item m="1" x="203"/>
        <item m="1" x="253"/>
        <item m="1" x="206"/>
        <item m="1" x="205"/>
        <item m="1" x="207"/>
        <item m="1" x="213"/>
        <item m="1" x="208"/>
        <item m="1" x="210"/>
        <item m="1" x="214"/>
        <item m="1" x="215"/>
        <item m="1" x="234"/>
        <item m="1" x="211"/>
        <item m="1" x="212"/>
        <item m="1" x="174"/>
        <item m="1" x="196"/>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16">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2:K177"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5">
    <i>
      <x v="67"/>
    </i>
    <i>
      <x v="68"/>
    </i>
    <i>
      <x v="69"/>
    </i>
    <i>
      <x v="70"/>
    </i>
    <i>
      <x v="71"/>
    </i>
    <i>
      <x v="72"/>
    </i>
    <i>
      <x v="73"/>
    </i>
    <i>
      <x v="74"/>
    </i>
    <i>
      <x v="75"/>
    </i>
    <i>
      <x v="76"/>
    </i>
    <i>
      <x v="77"/>
    </i>
    <i>
      <x v="78"/>
    </i>
    <i>
      <x v="79"/>
    </i>
    <i>
      <x v="80"/>
    </i>
    <i>
      <x v="82"/>
    </i>
    <i>
      <x v="83"/>
    </i>
    <i>
      <x v="84"/>
    </i>
    <i>
      <x v="85"/>
    </i>
    <i>
      <x v="86"/>
    </i>
    <i>
      <x v="87"/>
    </i>
    <i>
      <x v="89"/>
    </i>
    <i>
      <x v="90"/>
    </i>
    <i>
      <x v="91"/>
    </i>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8">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4">
      <pivotArea dataOnly="0" labelOnly="1" outline="0" fieldPosition="0">
        <references count="1">
          <reference field="1" count="1">
            <x v="1"/>
          </reference>
        </references>
      </pivotArea>
    </format>
    <format dxfId="9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m="1" x="20"/>
        <item x="5"/>
        <item x="10"/>
        <item x="8"/>
        <item x="9"/>
        <item x="7"/>
        <item x="11"/>
        <item x="12"/>
        <item x="13"/>
        <item x="14"/>
        <item x="15"/>
        <item x="16"/>
        <item x="17"/>
        <item x="18"/>
        <item x="19"/>
        <item t="default"/>
      </items>
    </pivotField>
    <pivotField showAll="0"/>
    <pivotField showAll="0"/>
    <pivotField axis="axisRow" showAll="0">
      <items count="256">
        <item m="1" x="238"/>
        <item m="1" x="239"/>
        <item m="1" x="237"/>
        <item m="1" x="236"/>
        <item m="1" x="240"/>
        <item m="1" x="242"/>
        <item m="1" x="241"/>
        <item m="1" x="243"/>
        <item m="1" x="244"/>
        <item m="1" x="245"/>
        <item m="1" x="246"/>
        <item m="1" x="247"/>
        <item m="1" x="248"/>
        <item m="1" x="249"/>
        <item m="1" x="174"/>
        <item m="1" x="196"/>
        <item m="1" x="250"/>
        <item m="1" x="251"/>
        <item m="1" x="252"/>
        <item m="1" x="204"/>
        <item m="1" x="203"/>
        <item m="1" x="253"/>
        <item m="1" x="254"/>
        <item m="1" x="213"/>
        <item m="1" x="205"/>
        <item m="1" x="206"/>
        <item m="1" x="207"/>
        <item m="1" x="208"/>
        <item m="1" x="209"/>
        <item m="1" x="210"/>
        <item m="1" x="211"/>
        <item m="1" x="212"/>
        <item m="1" x="214"/>
        <item m="1" x="234"/>
        <item m="1" x="215"/>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3">
      <pivotArea type="all" dataOnly="0" outline="0" fieldPosition="0"/>
    </format>
    <format dxfId="42">
      <pivotArea outline="0" collapsedLevelsAreSubtotals="1" fieldPosition="0"/>
    </format>
    <format dxfId="41">
      <pivotArea field="4" type="button" dataOnly="0" labelOnly="1" outline="0" axis="axisRow" fieldPosition="0"/>
    </format>
    <format dxfId="40">
      <pivotArea dataOnly="0" labelOnly="1" fieldPosition="0">
        <references count="1">
          <reference field="4" count="0"/>
        </references>
      </pivotArea>
    </format>
    <format dxfId="39">
      <pivotArea dataOnly="0" labelOnly="1" grandRow="1" outline="0" fieldPosition="0"/>
    </format>
    <format dxfId="38">
      <pivotArea dataOnly="0" labelOnly="1" outline="0" fieldPosition="0">
        <references count="1">
          <reference field="4294967294" count="2">
            <x v="0"/>
            <x v="1"/>
          </reference>
        </references>
      </pivotArea>
    </format>
    <format dxfId="37">
      <pivotArea grandRow="1" outline="0" collapsedLevelsAreSubtotals="1" fieldPosition="0"/>
    </format>
    <format dxfId="36">
      <pivotArea field="4" type="button" dataOnly="0" labelOnly="1" outline="0" axis="axisRow" fieldPosition="0"/>
    </format>
    <format dxfId="3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5">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57" s="1"/>
        <i x="19" s="1"/>
        <i x="43" s="1"/>
        <i x="39" s="1"/>
        <i x="23" s="1"/>
        <i x="48" s="1"/>
        <i x="31" s="1"/>
        <i x="58" s="1"/>
        <i x="36" s="1"/>
        <i x="63" s="1"/>
        <i x="46" s="1"/>
        <i x="52" s="1"/>
        <i x="65" s="1"/>
        <i x="49" s="1"/>
        <i x="51" s="1"/>
        <i x="62" s="1"/>
        <i x="45" s="1"/>
        <i x="44" s="1"/>
        <i x="64" s="1"/>
        <i x="50" s="1"/>
        <i x="59" s="1"/>
        <i x="55" s="1"/>
        <i x="54" s="1"/>
        <i x="61" s="1"/>
        <i x="56" s="1"/>
        <i x="34" s="1"/>
        <i x="21" s="1"/>
        <i x="53" s="1"/>
        <i x="60" s="1"/>
        <i x="30" s="1"/>
        <i x="47" s="1"/>
        <i x="66" s="1"/>
        <i x="209" s="1" nd="1"/>
        <i x="238" s="1" nd="1"/>
        <i x="239" s="1" nd="1"/>
        <i x="247" s="1" nd="1"/>
        <i x="237" s="1" nd="1"/>
        <i x="236" s="1" nd="1"/>
        <i x="240" s="1" nd="1"/>
        <i x="251" s="1" nd="1"/>
        <i x="243" s="1" nd="1"/>
        <i x="244" s="1" nd="1"/>
        <i x="241" s="1" nd="1"/>
        <i x="242" s="1" nd="1"/>
        <i x="252" s="1" nd="1"/>
        <i x="245" s="1" nd="1"/>
        <i x="246" s="1" nd="1"/>
        <i x="249" s="1" nd="1"/>
        <i x="250" s="1" nd="1"/>
        <i x="248" s="1" nd="1"/>
        <i x="204" s="1" nd="1"/>
        <i x="254" s="1" nd="1"/>
        <i x="203" s="1" nd="1"/>
        <i x="253" s="1" nd="1"/>
        <i x="206" s="1" nd="1"/>
        <i x="167" s="1" nd="1"/>
        <i x="205" s="1" nd="1"/>
        <i x="207" s="1" nd="1"/>
        <i x="213" s="1" nd="1"/>
        <i x="208" s="1" nd="1"/>
        <i x="210" s="1" nd="1"/>
        <i x="226" s="1" nd="1"/>
        <i x="149" s="1" nd="1"/>
        <i x="214" s="1" nd="1"/>
        <i x="154" s="1" nd="1"/>
        <i x="220" s="1" nd="1"/>
        <i x="215" s="1" nd="1"/>
        <i x="218" s="1" nd="1"/>
        <i x="223" s="1" nd="1"/>
        <i x="234" s="1" nd="1"/>
        <i x="216" s="1" nd="1"/>
        <i x="228" s="1" nd="1"/>
        <i x="231" s="1" nd="1"/>
        <i x="222" s="1" nd="1"/>
        <i x="211" s="1" nd="1"/>
        <i x="219" s="1" nd="1"/>
        <i x="212" s="1" nd="1"/>
        <i x="217" s="1" nd="1"/>
        <i x="150" s="1" nd="1"/>
        <i x="221" s="1" nd="1"/>
        <i x="227" s="1" nd="1"/>
        <i x="164" s="1" nd="1"/>
        <i x="224" s="1" nd="1"/>
        <i x="229" s="1" nd="1"/>
        <i x="225" s="1" nd="1"/>
        <i x="191" s="1" nd="1"/>
        <i x="230" s="1" nd="1"/>
        <i x="232" s="1" nd="1"/>
        <i x="152" s="1" nd="1"/>
        <i x="159" s="1" nd="1"/>
        <i x="233" s="1" nd="1"/>
        <i x="156" s="1" nd="1"/>
        <i x="157" s="1" nd="1"/>
        <i x="151" s="1" nd="1"/>
        <i x="155" s="1" nd="1"/>
        <i x="153" s="1" nd="1"/>
        <i x="162" s="1" nd="1"/>
        <i x="158" s="1" nd="1"/>
        <i x="160" s="1" nd="1"/>
        <i x="163" s="1" nd="1"/>
        <i x="171" s="1" nd="1"/>
        <i x="161" s="1" nd="1"/>
        <i x="170" s="1" nd="1"/>
        <i x="175" s="1" nd="1"/>
        <i x="169" s="1" nd="1"/>
        <i x="172" s="1" nd="1"/>
        <i x="182" s="1" nd="1"/>
        <i x="168" s="1" nd="1"/>
        <i x="165" s="1" nd="1"/>
        <i x="166" s="1" nd="1"/>
        <i x="181" s="1" nd="1"/>
        <i x="174" s="1" nd="1"/>
        <i x="185" s="1" nd="1"/>
        <i x="180" s="1" nd="1"/>
        <i x="173" s="1" nd="1"/>
        <i x="197" s="1" nd="1"/>
        <i x="178" s="1" nd="1"/>
        <i x="188" s="1" nd="1"/>
        <i x="186" s="1" nd="1"/>
        <i x="176" s="1" nd="1"/>
        <i x="184" s="1" nd="1"/>
        <i x="183" s="1" nd="1"/>
        <i x="179" s="1" nd="1"/>
        <i x="189" s="1" nd="1"/>
        <i x="187" s="1" nd="1"/>
        <i x="190" s="1" nd="1"/>
        <i x="177" s="1" nd="1"/>
        <i x="118" s="1" nd="1"/>
        <i x="192" s="1" nd="1"/>
        <i x="193" s="1" nd="1"/>
        <i x="76" s="1" nd="1"/>
        <i x="78" s="1" nd="1"/>
        <i x="200" s="1" nd="1"/>
        <i x="72" s="1" nd="1"/>
        <i x="119" s="1" nd="1"/>
        <i x="194" s="1" nd="1"/>
        <i x="195" s="1" nd="1"/>
        <i x="75" s="1" nd="1"/>
        <i x="202" s="1" nd="1"/>
        <i x="74" s="1" nd="1"/>
        <i x="89" s="1" nd="1"/>
        <i x="201" s="1" nd="1"/>
        <i x="196" s="1" nd="1"/>
        <i x="93" s="1" nd="1"/>
        <i x="199" s="1" nd="1"/>
        <i x="198" s="1" nd="1"/>
        <i x="114" s="1" nd="1"/>
        <i x="67" s="1" nd="1"/>
        <i x="79" s="1" nd="1"/>
        <i x="115" s="1" nd="1"/>
        <i x="113" s="1" nd="1"/>
        <i x="71" s="1" nd="1"/>
        <i x="73" s="1" nd="1"/>
        <i x="77" s="1" nd="1"/>
        <i x="68" s="1" nd="1"/>
        <i x="103" s="1" nd="1"/>
        <i x="108" s="1" nd="1"/>
        <i x="69" s="1" nd="1"/>
        <i x="70" s="1" nd="1"/>
        <i x="80" s="1" nd="1"/>
        <i x="83" s="1" nd="1"/>
        <i x="90" s="1" nd="1"/>
        <i x="82" s="1" nd="1"/>
        <i x="85" s="1" nd="1"/>
        <i x="84" s="1" nd="1"/>
        <i x="127" s="1" nd="1"/>
        <i x="81" s="1" nd="1"/>
        <i x="106" s="1" nd="1"/>
        <i x="122" s="1" nd="1"/>
        <i x="86" s="1" nd="1"/>
        <i x="111" s="1" nd="1"/>
        <i x="124" s="1" nd="1"/>
        <i x="95" s="1" nd="1"/>
        <i x="136" s="1" nd="1"/>
        <i x="94" s="1" nd="1"/>
        <i x="91" s="1" nd="1"/>
        <i x="87" s="1" nd="1"/>
        <i x="88" s="1" nd="1"/>
        <i x="107" s="1" nd="1"/>
        <i x="96" s="1" nd="1"/>
        <i x="97" s="1" nd="1"/>
        <i x="92" s="1" nd="1"/>
        <i x="99" s="1" nd="1"/>
        <i x="100" s="1" nd="1"/>
        <i x="129" s="1" nd="1"/>
        <i x="98" s="1" nd="1"/>
        <i x="116" s="1" nd="1"/>
        <i x="104" s="1" nd="1"/>
        <i x="101" s="1" nd="1"/>
        <i x="105" s="1" nd="1"/>
        <i x="102" s="1" nd="1"/>
        <i x="109" s="1" nd="1"/>
        <i x="128" s="1" nd="1"/>
        <i x="123" s="1" nd="1"/>
        <i x="142" s="1" nd="1"/>
        <i x="110" s="1" nd="1"/>
        <i x="121" s="1" nd="1"/>
        <i x="112" s="1" nd="1"/>
        <i x="137" s="1" nd="1"/>
        <i x="120" s="1" nd="1"/>
        <i x="135" s="1" nd="1"/>
        <i x="126" s="1" nd="1"/>
        <i x="125" s="1" nd="1"/>
        <i x="141" s="1" nd="1"/>
        <i x="138" s="1" nd="1"/>
        <i x="146" s="1" nd="1"/>
        <i x="130" s="1" nd="1"/>
        <i x="139" s="1" nd="1"/>
        <i x="144" s="1" nd="1"/>
        <i x="148" s="1" nd="1"/>
        <i x="145" s="1" nd="1"/>
        <i x="140" s="1" nd="1"/>
        <i x="131" s="1" nd="1"/>
        <i x="134" s="1" nd="1"/>
        <i x="143" s="1" nd="1"/>
        <i x="132" s="1" nd="1"/>
        <i x="133" s="1" nd="1"/>
        <i x="147" s="1" nd="1"/>
        <i x="117" s="1" nd="1"/>
        <i x="23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2" totalsRowCount="1" headerRowDxfId="107" dataDxfId="106" headerRowCellStyle="Comma" dataCellStyle="Comma">
  <autoFilter ref="A1:K141"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27" dataCellStyle="Comma"/>
    <tableColumn id="6" xr3:uid="{F4E1FD2B-9017-4DEB-B772-BF447ECE56F7}" name="Kora/metre" dataDxfId="100" totalsRowDxfId="26" dataCellStyle="Comma"/>
    <tableColumn id="7" xr3:uid="{52ACC1DA-7A76-4A90-B809-3A1AE728E7EA}" name="Tiyaar/gaz" dataDxfId="99" totalsRowDxfId="25" dataCellStyle="Comma"/>
    <tableColumn id="8" xr3:uid="{31A0FF5E-56F0-44D1-9865-73256B964660}" name="shortage %" dataDxfId="98" totalsRowDxfId="24" dataCellStyle="Comma">
      <calculatedColumnFormula>_xlfn.XLOOKUP(Table1[[#This Row],[Shipment Number]], 'pivot '!A:A,'pivot '!G:G, "NF")</calculatedColumnFormula>
    </tableColumn>
    <tableColumn id="9" xr3:uid="{F99075E0-AC8E-094D-BB85-272AD2C6C568}" name="tiyar/meters" totalsRowFunction="custom" dataDxfId="97" totalsRowDxfId="23"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6" totalsRowDxfId="22"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95" totalsRowDxfId="21"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92" headerRowBorderDxfId="91" tableBorderDxfId="90">
  <autoFilter ref="A1:I59" xr:uid="{F8E8C957-ABE7-4E4F-8D4E-7D44E26B334F}"/>
  <tableColumns count="9">
    <tableColumn id="1" xr3:uid="{C2E817D6-AB98-4DDD-8890-736B27F261CD}" name="Date" dataDxfId="89" totalsRowDxfId="20"/>
    <tableColumn id="2" xr3:uid="{CFB51890-CCDC-463C-81C9-3F8BD7469CB9}" name="Party Name"/>
    <tableColumn id="3" xr3:uid="{A113D971-1C9D-4733-99C4-BD0CC4333209}" name="Vehicle Number"/>
    <tableColumn id="4" xr3:uid="{49780304-3DD1-4AE9-98EE-2BC7EB8F3B57}" name="Weight" dataDxfId="88" totalsRowDxfId="19" dataCellStyle="Comma"/>
    <tableColumn id="5" xr3:uid="{FCAF1BC6-1D8C-42AD-8BBC-F924BF2DC7FE}" name="Rate" dataDxfId="87" totalsRowDxfId="18" dataCellStyle="Comma"/>
    <tableColumn id="6" xr3:uid="{8C70A624-4134-410C-9C45-9FDEB51D51BF}" name="Rent" dataDxfId="86" totalsRowDxfId="17" dataCellStyle="Comma"/>
    <tableColumn id="7" xr3:uid="{EBCE10AE-9634-4982-9C95-37ABC8A7078C}" name="Total" totalsRowFunction="sum" dataDxfId="85" totalsRowDxfId="16" dataCellStyle="Comma">
      <calculatedColumnFormula>D2*E2</calculatedColumnFormula>
    </tableColumn>
    <tableColumn id="9" xr3:uid="{D4788559-C94A-44D9-B9AE-E72B214355AC}" name="Paid" totalsRowFunction="sum" dataDxfId="84" totalsRowDxfId="15" dataCellStyle="Comma"/>
    <tableColumn id="8" xr3:uid="{E26F5BF0-1875-4FC6-994D-49F202ED562B}" name="balance" totalsRowFunction="sum" dataDxfId="83" totalsRowDxfId="1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72" totalsRowCount="1">
  <autoFilter ref="A1:G471" xr:uid="{CB032221-B416-47A8-9A76-693DE76CFD04}"/>
  <tableColumns count="7">
    <tableColumn id="1" xr3:uid="{554B1EED-65B6-4E9A-B646-82727FAC40DE}" name="Date" dataDxfId="7" totalsRowDxfId="6"/>
    <tableColumn id="2" xr3:uid="{32259059-42CF-4947-83DE-115AA430BE2B}" name="Party"/>
    <tableColumn id="3" xr3:uid="{A1320223-D55D-483C-91C3-AB19B95CC9D8}" name="Debit" totalsRowFunction="sum" dataDxfId="5" totalsRowDxfId="4" dataCellStyle="Comma"/>
    <tableColumn id="4" xr3:uid="{E9745767-9FF0-4B1C-9052-FF335D1D7588}" name="Credit" totalsRowFunction="sum" dataDxfId="3" totalsRowDxfId="2" dataCellStyle="Comma"/>
    <tableColumn id="5" xr3:uid="{5C88A48E-2467-4E6D-B626-2442B7FD0BE4}" name="Description"/>
    <tableColumn id="6" xr3:uid="{63CA4666-144E-4BE6-8B7C-7CB992BD3041}" name="Mode" totalsRowFunction="custom" dataDxfId="1"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1" tableBorderDxfId="80" totalsRowBorderDxfId="79">
  <autoFilter ref="J3:K6" xr:uid="{DCE01694-23ED-48BF-8B92-4186B9ED10A8}"/>
  <tableColumns count="2">
    <tableColumn id="1" xr3:uid="{C8484DAF-2989-4C2F-9AEC-A6917E1C57F6}" name="Type" dataDxfId="78"/>
    <tableColumn id="2" xr3:uid="{B07B7A2A-4D4E-4654-BED6-FE2F0A7BEC34}" name="Amount" dataDxfId="7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6" headerRowBorderDxfId="75" tableBorderDxfId="74" totalsRowBorderDxfId="73">
  <autoFilter ref="M3:O6" xr:uid="{D166BDD1-ACD7-45D7-8AE9-7350373F8CEB}"/>
  <tableColumns count="3">
    <tableColumn id="1" xr3:uid="{64F0205E-DEA7-4571-BA86-E4374A5FEE28}" name="Type" totalsRowLabel="Total" dataDxfId="72" totalsRowDxfId="71"/>
    <tableColumn id="2" xr3:uid="{15FA05F9-789C-4459-9BE0-5C1EC84D3365}" name="amount" totalsRowFunction="custom" dataDxfId="70" totalsRowDxfId="69">
      <totalsRowFormula>SUM(N5:N6)</totalsRowFormula>
    </tableColumn>
    <tableColumn id="3" xr3:uid="{3681D409-90C6-44D0-BDE2-4B5943A516F0}" name="Actual" totalsRowFunction="custom" totalsRowDxfId="6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7" totalsRowDxfId="66"/>
    <tableColumn id="2" xr3:uid="{5B9D0FEE-4304-4C5C-A05C-5B27CF7841D3}" name="Type"/>
    <tableColumn id="3" xr3:uid="{6A91CA0D-C802-4C6F-9F39-CA53687E8EDE}" name="Description"/>
    <tableColumn id="4" xr3:uid="{A251D40C-AB87-4BB4-85F8-444B20E32FDF}" name="Total" totalsRowFunction="custom" dataDxfId="65" totalsRowDxfId="6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63" headerRowBorderDxfId="62">
  <autoFilter ref="A1:I19"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1"/>
    <tableColumn id="4" xr3:uid="{1889A312-9B41-4EC4-BD8F-05252F27084A}" name="Price" totalsRowFunction="sum"/>
    <tableColumn id="6" xr3:uid="{8B974B20-F003-4E67-8660-024FA4F324A9}" name="Party"/>
    <tableColumn id="7" xr3:uid="{0A5A5C21-FD61-47DA-9F54-66A6479FA557}" name="Paid" dataDxfId="60">
      <calculatedColumnFormula>SUMIFS(Table14[Debit], Table14[Date], Table8[[#This Row],[Date]], Table14[Party], Table8[[#This Row],[Party]])</calculatedColumnFormula>
    </tableColumn>
    <tableColumn id="8" xr3:uid="{8DCB3B43-2161-4081-82EC-CDB0F4DE4E6F}" name="Balance" totalsRowFunction="sum" dataDxfId="5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8:E52" totalsRowCount="1">
  <autoFilter ref="A28:E5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58" headerRowBorderDxfId="57">
  <autoFilter ref="A4:H22" xr:uid="{A4C80688-A8BA-4BA7-90B4-791CD99446B4}"/>
  <sortState xmlns:xlrd2="http://schemas.microsoft.com/office/spreadsheetml/2017/richdata2" ref="A5:H6">
    <sortCondition ref="A4:A6"/>
  </sortState>
  <tableColumns count="8">
    <tableColumn id="1" xr3:uid="{4A818912-918E-4111-ACFC-BC93FEF7C1AD}" name="Date" dataDxfId="56" totalsRowDxfId="9"/>
    <tableColumn id="8" xr3:uid="{477ACFD5-62AF-4F69-974B-E9B974C11D7D}" name="Party Name" dataDxfId="5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4">
      <calculatedColumnFormula>Table2[[#This Row],[Quantity]]*200*Table2[[#This Row],[Boxes]]</calculatedColumnFormula>
    </tableColumn>
    <tableColumn id="6" xr3:uid="{30432929-CBD4-4BA8-B63F-CD0F6CF6405F}" name="Paid" totalsRowFunction="sum" dataDxfId="5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1" totalsRowDxfId="5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9" totalsRowDxfId="48"/>
    <tableColumn id="2" xr3:uid="{053BFC14-4828-417C-9F9F-95B6E232A945}" name="Amount" totalsRowFunction="custom" dataDxfId="47" totalsRowDxfId="4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45" totalsRowDxfId="4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34" totalsRowDxfId="3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32" totalsRowDxfId="3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0">
      <calculatedColumnFormula>Billing!Q5</calculatedColumnFormula>
    </tableColumn>
    <tableColumn id="2" xr3:uid="{7093A59E-B58F-487D-888A-9AA8156B5F9A}" name="Amount Paid" dataDxfId="2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28"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U3" zoomScale="87" workbookViewId="0">
      <selection activeCell="AB24" sqref="AB24"/>
    </sheetView>
  </sheetViews>
  <sheetFormatPr defaultRowHeight="15" x14ac:dyDescent="0.25"/>
  <cols>
    <col min="2" max="2" width="12.85546875" bestFit="1" customWidth="1"/>
    <col min="3" max="3" width="13.7109375" customWidth="1"/>
    <col min="4" max="4" width="12.5703125" customWidth="1"/>
    <col min="5" max="5" width="11" customWidth="1"/>
    <col min="6" max="6" width="13.28515625" customWidth="1"/>
    <col min="7" max="7" width="15.85546875" bestFit="1" customWidth="1"/>
    <col min="8" max="8" width="12.28515625" bestFit="1" customWidth="1"/>
    <col min="9" max="10" width="12.28515625" customWidth="1"/>
    <col min="11" max="11" width="15.28515625" bestFit="1" customWidth="1"/>
    <col min="12" max="12" width="12" bestFit="1" customWidth="1"/>
    <col min="13" max="13" width="11.140625" bestFit="1" customWidth="1"/>
    <col min="14" max="15" width="16.28515625" customWidth="1"/>
    <col min="16" max="16" width="11.42578125" customWidth="1"/>
    <col min="17" max="17" width="16.28515625" customWidth="1"/>
    <col min="18" max="18" width="19.140625" customWidth="1"/>
    <col min="19" max="19" width="11.140625" customWidth="1"/>
    <col min="20" max="20" width="13.85546875" customWidth="1"/>
    <col min="21" max="21" width="14.85546875" customWidth="1"/>
    <col min="22" max="22" width="13" customWidth="1"/>
    <col min="23" max="23" width="15.5703125" customWidth="1"/>
    <col min="24" max="24" width="16.85546875" bestFit="1" customWidth="1"/>
    <col min="25" max="25" width="13.140625" bestFit="1" customWidth="1"/>
    <col min="26" max="26" width="12.5703125" bestFit="1" customWidth="1"/>
    <col min="27" max="27" width="15.7109375" customWidth="1"/>
    <col min="28" max="28" width="14.140625" customWidth="1"/>
    <col min="30" max="30" width="15.85546875" customWidth="1"/>
    <col min="33" max="33" width="12.140625" customWidth="1"/>
    <col min="34" max="34" width="11.42578125" customWidth="1"/>
  </cols>
  <sheetData>
    <row r="1" spans="2:30" ht="28.5" x14ac:dyDescent="0.45">
      <c r="B1" t="s">
        <v>2</v>
      </c>
      <c r="C1" t="s">
        <v>3</v>
      </c>
      <c r="D1" t="s">
        <v>4</v>
      </c>
      <c r="E1" t="s">
        <v>5</v>
      </c>
      <c r="G1" s="9" t="s">
        <v>0</v>
      </c>
    </row>
    <row r="2" spans="2:30" x14ac:dyDescent="0.25">
      <c r="B2" t="str">
        <f t="shared" ref="B2:B18" si="0">B49</f>
        <v>BSC</v>
      </c>
      <c r="C2" s="18">
        <f>SUMIFS(ledger!G:G, ledger!B:B, B2, ledger!E:E, "&lt;&gt;*RD*") / 1.0936</f>
        <v>493305.59619604977</v>
      </c>
      <c r="D2">
        <v>10</v>
      </c>
      <c r="E2" s="14">
        <f>(SUMIFS(ledger!G:G, ledger!B:B, B2, ledger!E:E, "&lt;&gt;*RD*",ledger!D:D, "Silky") / 1.0936)*12 + (SUMIFS(ledger!G:G, ledger!B:B, B2, ledger!E:E, "&lt;&gt;*RD*",ledger!D:D, "Chamki") / 1.0936)*10</f>
        <v>5115173.7381126555</v>
      </c>
      <c r="Q2" t="s">
        <v>1</v>
      </c>
    </row>
    <row r="3" spans="2:30" x14ac:dyDescent="0.25">
      <c r="B3" t="str">
        <f t="shared" si="0"/>
        <v>Ejaz Sahab</v>
      </c>
      <c r="C3" s="18">
        <f>SUMIFS(ledger!G:G, ledger!B:B, B3, ledger!E:E, "&lt;&gt;*RD*") / 1.0936</f>
        <v>108603.69422092174</v>
      </c>
      <c r="D3">
        <v>10</v>
      </c>
      <c r="E3" s="14">
        <f>(SUMIFS(ledger!G:G, ledger!B:B, B3, ledger!E:E, "&lt;&gt;*RD*",ledger!D:D, "Silky") / 1.0936)*12 + (SUMIFS(ledger!G:G, ledger!B:B, B3, ledger!E:E, "&lt;&gt;*RD*",ledger!D:D, "Chamki") / 1.0936)*10</f>
        <v>1268072.4213606438</v>
      </c>
    </row>
    <row r="4" spans="2:30" x14ac:dyDescent="0.25">
      <c r="B4" t="str">
        <f t="shared" si="0"/>
        <v>Arshad</v>
      </c>
      <c r="C4" s="18">
        <f>SUMIFS(ledger!G:G, ledger!B:B, B4, ledger!E:E, "&lt;&gt;*RD*") / 1.0936</f>
        <v>169859.18068763718</v>
      </c>
      <c r="D4">
        <v>10</v>
      </c>
      <c r="E4" s="14">
        <f>(SUMIFS(ledger!G:G, ledger!B:B, B4, ledger!E:E, "&lt;&gt;*RD*",ledger!D:D, "Silky") / 1.0936)*12 + (SUMIFS(ledger!G:G, ledger!B:B, B4, ledger!E:E, "&lt;&gt;*RD*",ledger!D:D, "Chamki") / 1.0936)*10</f>
        <v>1698591.8068763718</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25">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2205408</v>
      </c>
      <c r="S5" s="23" cm="1">
        <f t="array" ref="S5">_xlfn.BYROW(B49, _xlfn.LAMBDA(_xlpm.party, SUMIFS(ledger!G:G, ledger!B:B, _xlpm.party, ledger!E:E, "&lt;&gt;*RD*") / 1.0936 ))+_xlfn.IFNA(D84,0)</f>
        <v>2016649.5976591078</v>
      </c>
      <c r="T5" s="23" cm="1">
        <f t="array" ref="T5">(_xlfn.BYROW(B49,_xlfn.LAMBDA(_xlpm.party,SUMIFS(ledger!G:G,ledger!B:B,_xlpm.party,ledger!E:E,"&lt;&gt;*RD*",ledger!D:D,"Chamki")+SUMIFS(ledger!G:G, ledger!B:B, _xlpm.party, ledger!E:E, "&lt;&gt;*RD*", ledger!D:D, "Crinkle")))/1.0936)+_xlfn.IFNA(E84,0)</f>
        <v>1895402.3408924653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18954023.408924658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20441881.858083401</v>
      </c>
      <c r="AA5" s="23">
        <f>(SUMIF(Table14[Party],Q5,Table14[Credit]))+_xlfn.IFNA(L84,0)</f>
        <v>18411676</v>
      </c>
      <c r="AB5" s="38">
        <f>Z5-AA5</f>
        <v>2030205.8580834009</v>
      </c>
      <c r="AC5" s="22">
        <v>10</v>
      </c>
      <c r="AD5" s="22">
        <v>12</v>
      </c>
    </row>
    <row r="6" spans="2:30" x14ac:dyDescent="0.25">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277841</v>
      </c>
      <c r="S6" s="23" cm="1">
        <f t="array" ref="S6">_xlfn.BYROW(B50, _xlfn.LAMBDA(_xlpm.party, SUMIFS(ledger!G:G, ledger!B:B, _xlpm.party, ledger!E:E, "&lt;&gt;*RD*") / 1.0936 ))+_xlfn.IFNA(D85,0)</f>
        <v>254060.89978054137</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105915.32553035846</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1317755.1207022679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2799210.8632040964</v>
      </c>
      <c r="AA6" s="23">
        <f>(SUMIF(Table14[Party],Q6,Table14[Credit]))+_xlfn.IFNA(L85,0)</f>
        <v>3163904</v>
      </c>
      <c r="AB6" s="38">
        <f>Z6-AA6</f>
        <v>-364693.13679590356</v>
      </c>
      <c r="AC6" s="22">
        <v>10</v>
      </c>
      <c r="AD6" s="22">
        <v>12</v>
      </c>
    </row>
    <row r="7" spans="2:30" x14ac:dyDescent="0.25">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445506</v>
      </c>
      <c r="S7" s="23" cm="1">
        <f t="array" ref="S7">_xlfn.BYROW(B51, _xlfn.LAMBDA(_xlpm.party, SUMIFS(ledger!G:G, ledger!B:B, _xlpm.party, ledger!E:E, "&lt;&gt;*RD*") / 1.0936 ))+_xlfn.IFNA(D86,0)</f>
        <v>407375.64008778351</v>
      </c>
      <c r="T7" s="23" cm="1">
        <f t="array" ref="T7">(_xlfn.BYROW(B51,_xlfn.LAMBDA(_xlpm.party,SUMIFS(ledger!G:G,ledger!B:B,_xlpm.party,ledger!E:E,"&lt;&gt;*RD*",ledger!D:D,"Chamki")+SUMIFS(ledger!G:G, ledger!B:B, _xlpm.party, ledger!E:E, "&lt;&gt;*RD*", ledger!D:D, "Crinkle")))/1.0936)+_xlfn.IFNA(E86,0)</f>
        <v>392581.38258961233</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3925813.8258961234</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4103344.9158741776</v>
      </c>
      <c r="AA7" s="23">
        <f>(SUMIF(Table14[Party],Q7,Table14[Credit]))+_xlfn.IFNA(L86,0)</f>
        <v>4102935</v>
      </c>
      <c r="AB7" s="38">
        <f>Z7-AA7</f>
        <v>409.91587417759001</v>
      </c>
      <c r="AC7" s="22">
        <v>10</v>
      </c>
      <c r="AD7" s="22">
        <v>12</v>
      </c>
    </row>
    <row r="8" spans="2:30" x14ac:dyDescent="0.25">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25">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25">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25">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25">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25">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25">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25">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25">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25">
      <c r="B17" t="str">
        <f t="shared" si="0"/>
        <v>Haseeb Shamsi</v>
      </c>
      <c r="C17" s="18">
        <f>SUMIFS(ledger!G:G, ledger!B:B, B17, ledger!E:E, "&lt;&gt;*RD*") / 1.0936</f>
        <v>31043.343087051941</v>
      </c>
      <c r="E17" s="14">
        <f>(SUMIFS(ledger!G:G, ledger!B:B, B17, ledger!E:E, "&lt;&gt;*RD*",ledger!D:D, "Silky") / 1.0936)*12 + (SUMIFS(ledger!G:G, ledger!B:B, B17, ledger!E:E, "&lt;&gt;*RD*",ledger!D:D, "Chamki") / 1.0936)*10</f>
        <v>310433.43087051943</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25">
      <c r="B18" t="str">
        <f t="shared" si="0"/>
        <v>Faizan</v>
      </c>
      <c r="C18" s="18">
        <f>SUMIFS(ledger!G:G, ledger!B:B, B18, ledger!E:E, "&lt;&gt;*RD*") / 1.0936</f>
        <v>203168.43452816387</v>
      </c>
      <c r="E18" s="14">
        <f>(SUMIFS(ledger!G:G, ledger!B:B, B18, ledger!E:E, "&lt;&gt;*RD*",ledger!D:D, "Silky") / 1.0936)*12 + (SUMIFS(ledger!G:G, ledger!B:B, B18, ledger!E:E, "&lt;&gt;*RD*",ledger!D:D, "Chamki") / 1.0936)*10</f>
        <v>2402381.1265544994</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25">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25">
      <c r="Q20" s="121" t="str">
        <v>Haseeb Shamsi</v>
      </c>
      <c r="R20" s="23" cm="1">
        <f t="array" ref="R20">_xlfn.BYROW(B64,_xlfn.LAMBDA(_xlpm.party,SUMIFS(ledger!G:G,ledger!B:B,_xlpm.party,ledger!E:E,"&lt;&gt;*RD*")))+_xlfn.IFNA(C99,0)</f>
        <v>61975</v>
      </c>
      <c r="S20" s="23" cm="1">
        <f t="array" ref="S20">_xlfn.BYROW(B64, _xlfn.LAMBDA(_xlpm.party, SUMIFS(ledger!G:G, ledger!B:B, _xlpm.party, ledger!E:E, "&lt;&gt;*RD*") / 1.0936 ))+_xlfn.IFNA(D99,0)</f>
        <v>56670.629114850046</v>
      </c>
      <c r="T20" s="23" cm="1">
        <f t="array" ref="T20">(_xlfn.BYROW(B64,_xlfn.LAMBDA(_xlpm.party,SUMIFS(ledger!G:G,ledger!B:B,_xlpm.party,ledger!E:E,"&lt;&gt;*RD*",ledger!D:D,"Chamki")+SUMIFS(ledger!G:G, ledger!B:B, _xlpm.party, ledger!E:E, "&lt;&gt;*RD*", ledger!D:D, "Crinkle")))/1.0936)+_xlfn.IFNA(E99,0)</f>
        <v>56670.629114850046</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566706.29114850052</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566706.29114850052</v>
      </c>
      <c r="AA20" s="23">
        <f>(SUMIF(Table14[Party],Q20,Table14[Credit]))+_xlfn.IFNA(L99,0)</f>
        <v>474200</v>
      </c>
      <c r="AB20" s="38">
        <f t="shared" si="3"/>
        <v>92506.291148500517</v>
      </c>
      <c r="AC20" s="22">
        <v>10</v>
      </c>
      <c r="AD20" s="22">
        <v>12</v>
      </c>
    </row>
    <row r="21" spans="2:30" x14ac:dyDescent="0.25">
      <c r="B21" s="45" t="s">
        <v>29</v>
      </c>
      <c r="C21" s="46">
        <f>SUM(G49:G69)+SUM(H49:H69)+SUM(I49:I69)+SUM(J49:J69)</f>
        <v>17072918.800292619</v>
      </c>
      <c r="D21" t="s">
        <v>30</v>
      </c>
      <c r="Q21" s="122" t="str">
        <v>Faizan</v>
      </c>
      <c r="R21" s="23" cm="1">
        <f t="array" ref="R21">_xlfn.BYROW(B65,_xlfn.LAMBDA(_xlpm.party,SUMIFS(ledger!G:G,ledger!B:B,_xlpm.party,ledger!E:E,"&lt;&gt;*RD*")))+_xlfn.IFNA(C100,0)</f>
        <v>222185</v>
      </c>
      <c r="S21" s="23" cm="1">
        <f t="array" ref="S21">_xlfn.BYROW(B65, _xlfn.LAMBDA(_xlpm.party, SUMIFS(ledger!G:G, ledger!B:B, _xlpm.party, ledger!E:E, "&lt;&gt;*RD*") / 1.0936 ))+_xlfn.IFNA(D100,0)</f>
        <v>203168.43452816387</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200198.42721287493</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2602579.5537673743</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2647129.6634967085</v>
      </c>
      <c r="AA21" s="23">
        <f>(SUMIF(Table14[Party],Q21,Table14[Credit]))+_xlfn.IFNA(L100,0)</f>
        <v>2915571</v>
      </c>
      <c r="AB21" s="38">
        <f t="shared" ref="AB21:AB35" si="4">Z21-AA21</f>
        <v>-268441.3365032915</v>
      </c>
      <c r="AC21" s="22">
        <v>10</v>
      </c>
      <c r="AD21" s="22">
        <v>13</v>
      </c>
    </row>
    <row r="22" spans="2:30" x14ac:dyDescent="0.25">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25">
      <c r="B23" s="25" t="s">
        <v>31</v>
      </c>
      <c r="C23" s="42">
        <f>SUM(K49:K71)</f>
        <v>17072918.800292611</v>
      </c>
      <c r="D23" t="s">
        <v>32</v>
      </c>
      <c r="Q23" s="22" t="str">
        <v>Amjad sohail</v>
      </c>
      <c r="R23" s="23" cm="1">
        <f t="array" ref="R23">_xlfn.BYROW(B67,_xlfn.LAMBDA(_xlpm.party,SUMIFS(ledger!G:G,ledger!B:B,_xlpm.party,ledger!E:E,"&lt;&gt;*RD*")))+_xlfn.IFNA(C102,0)</f>
        <v>108349</v>
      </c>
      <c r="S23" s="23" cm="1">
        <f t="array" ref="S23">_xlfn.BYROW(B67, _xlfn.LAMBDA(_xlpm.party, SUMIFS(ledger!G:G, ledger!B:B, _xlpm.party, ledger!E:E, "&lt;&gt;*RD*") / 1.0936 ))+_xlfn.IFNA(D102,0)</f>
        <v>99075.530358449163</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43834.125822970011</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569843.63569861022</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1122257.6810534019</v>
      </c>
      <c r="AA23" s="23">
        <f>(SUMIF(Table14[Party],Q23,Table14[Credit]))+_xlfn.IFNA(L102,0)</f>
        <v>800000</v>
      </c>
      <c r="AB23" s="38">
        <f t="shared" si="4"/>
        <v>322257.6810534019</v>
      </c>
      <c r="AC23" s="22">
        <v>10</v>
      </c>
      <c r="AD23" s="22">
        <v>13</v>
      </c>
    </row>
    <row r="24" spans="2:30" x14ac:dyDescent="0.25">
      <c r="Q24" t="str">
        <v>Salman Zaffar</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25">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25">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25">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25">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25">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25">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25">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25">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25">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25">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25">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25">
      <c r="B47" t="s">
        <v>158</v>
      </c>
    </row>
    <row r="48" spans="2:30" x14ac:dyDescent="0.25">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25">
      <c r="A49" t="s">
        <v>33</v>
      </c>
      <c r="B49" s="25" t="str" cm="1">
        <f t="array" ref="B49:B68">_xlfn.UNIQUE(Table1[Party Name])</f>
        <v>BSC</v>
      </c>
      <c r="C49" s="23" cm="1">
        <f t="array" ref="C49:C68">_xlfn.BYROW(_xlfn.ANCHORARRAY(B49),_xlfn.LAMBDA(_xlpm.party,SUMIFS(ledger!G:G,ledger!B:B,_xlpm.party,ledger!E:E,"&lt;&gt;*RD*")))</f>
        <v>539479</v>
      </c>
      <c r="D49" s="23" cm="1">
        <f t="array" ref="D49:D68">_xlfn.BYROW(_xlfn.ANCHORARRAY(B49), _xlfn.LAMBDA(_xlpm.party, SUMIFS(ledger!G:G, ledger!B:B, _xlpm.party, ledger!E:E, "&lt;&gt;*RD*") / 1.0936 ))</f>
        <v>493305.59619604977</v>
      </c>
      <c r="E49" s="68" cm="1">
        <f t="array" ref="E49:E68">(_xlfn.BYROW(_xlfn.ANCHORARRAY(B49),_xlfn.LAMBDA(_xlpm.party,SUMIFS(ledger!G:G,ledger!B:B,_xlpm.party,ledger!E:E,"&lt;&gt;*RD*",ledger!D:D,"Chamki")+SUMIFS(ledger!G:G, ledger!B:B, _xlpm.party, ledger!E:E, "&lt;&gt;*RD*", ledger!D:D, "Crinkle")))/1.0936)</f>
        <v>402246.70811997075</v>
      </c>
      <c r="F49" s="68" cm="1">
        <f t="array" ref="F49:F68">(_xlfn.BYROW(_xlfn.ANCHORARRAY(B49),_xlfn.LAMBDA(_xlpm.party,SUMIFS(ledger!G:G,ledger!B:B,_xlpm.party,ledger!E:E,"&lt;&gt;*RD*",ledger!D:D,"Silky")))/1.0936)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4022467.0811997079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5148065.1060716901</v>
      </c>
      <c r="L49" s="23">
        <f>(SUMIF(Table14[Party],B49,Table14[Credit]))</f>
        <v>5557023</v>
      </c>
      <c r="M49" s="42">
        <f>K49-L49</f>
        <v>-408957.8939283099</v>
      </c>
      <c r="N49" s="22">
        <v>10</v>
      </c>
      <c r="O49" s="22">
        <v>12</v>
      </c>
    </row>
    <row r="50" spans="1:26" x14ac:dyDescent="0.25">
      <c r="B50" s="25" t="str">
        <v>Ejaz Sahab</v>
      </c>
      <c r="C50" s="23">
        <v>118769</v>
      </c>
      <c r="D50" s="23">
        <v>108603.69422092174</v>
      </c>
      <c r="E50" s="68">
        <v>17585.954645208487</v>
      </c>
      <c r="F50" s="68">
        <v>91017.739575713247</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1138984.0892465254</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1314843.6356986102</v>
      </c>
      <c r="L50" s="23">
        <f>(SUMIF(Table14[Party],B50,Table14[Credit]))</f>
        <v>2304000</v>
      </c>
      <c r="M50" s="42">
        <f>K50-L50</f>
        <v>-989156.36430138978</v>
      </c>
      <c r="N50" s="22">
        <v>10</v>
      </c>
      <c r="O50" s="22">
        <v>12</v>
      </c>
    </row>
    <row r="51" spans="1:26" x14ac:dyDescent="0.25">
      <c r="B51" s="25" t="str">
        <v>Arshad</v>
      </c>
      <c r="C51" s="23">
        <v>185758</v>
      </c>
      <c r="D51" s="23">
        <v>169859.18068763718</v>
      </c>
      <c r="E51" s="68">
        <v>169859.18068763718</v>
      </c>
      <c r="F51" s="68">
        <v>0</v>
      </c>
      <c r="G51" s="23" cm="1">
        <f t="array" ref="G51">(_xlfn.BYROW(B51,_xlfn.LAMBDA(_xlpm.party,
(SUMIFS(ledger!J:J,ledger!B:B,_xlpm.party,ledger!E:E,"&lt;&gt;*RD*",ledger!D:D,"Chamki",ledger!C:C,"&lt;&gt;September Closing CF")+
SUMIFS(ledger!J:J,ledger!B:B,_xlpm.party,ledger!E:E,"&lt;&gt;*RD*",ledger!D:D,"Crinkle",ledger!C:C,"&lt;&gt;September Closing CF")
))))</f>
        <v>1698591.8068763718</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1698591.8068763718</v>
      </c>
      <c r="L51" s="23">
        <f>(SUMIF(Table14[Party],B51,Table14[Credit]))</f>
        <v>1796234</v>
      </c>
      <c r="M51" s="42">
        <f>K51-L51</f>
        <v>-97642.193123628153</v>
      </c>
      <c r="N51" s="22">
        <v>10</v>
      </c>
      <c r="O51" s="22">
        <v>12</v>
      </c>
    </row>
    <row r="52" spans="1:26" x14ac:dyDescent="0.25">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25">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25">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25">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25">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25">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493305.59619604977</v>
      </c>
      <c r="Z57" s="18">
        <v>5115173.7381126555</v>
      </c>
    </row>
    <row r="58" spans="1:26" x14ac:dyDescent="0.25">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123497.62253108999</v>
      </c>
      <c r="Z58" s="18">
        <v>1446799.5610826628</v>
      </c>
    </row>
    <row r="59" spans="1:26" x14ac:dyDescent="0.25">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169859.18068763718</v>
      </c>
      <c r="Z59" s="18">
        <v>1698591.8068763718</v>
      </c>
    </row>
    <row r="60" spans="1:26" x14ac:dyDescent="0.25">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25">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25">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25">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25">
      <c r="B64" t="str">
        <v>Haseeb Shamsi</v>
      </c>
      <c r="C64" s="23">
        <v>33949</v>
      </c>
      <c r="D64" s="23">
        <v>31043.343087051941</v>
      </c>
      <c r="E64" s="68">
        <v>31043.343087051941</v>
      </c>
      <c r="F64" s="68">
        <v>0</v>
      </c>
      <c r="G64" s="23" cm="1">
        <f t="array" ref="G64">(_xlfn.BYROW(B64,_xlfn.LAMBDA(_xlpm.party,
(SUMIFS(ledger!J:J,ledger!B:B,_xlpm.party,ledger!E:E,"&lt;&gt;*RD*",ledger!D:D,"Chamki",ledger!C:C,"&lt;&gt;September Closing CF")+
SUMIFS(ledger!J:J,ledger!B:B,_xlpm.party,ledger!E:E,"&lt;&gt;*RD*",ledger!D:D,"Crinkle",ledger!C:C,"&lt;&gt;September Closing CF")
))))</f>
        <v>310433.43087051943</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310433.43087051943</v>
      </c>
      <c r="L64" s="23">
        <f>SUMIF(Table14[Party], B81, Table14[Credit])</f>
        <v>0</v>
      </c>
      <c r="M64" s="42">
        <f t="shared" si="8"/>
        <v>310433.43087051943</v>
      </c>
      <c r="N64" s="22">
        <v>10</v>
      </c>
      <c r="O64" s="22">
        <v>12</v>
      </c>
      <c r="X64" s="4" t="s">
        <v>155</v>
      </c>
      <c r="Y64" s="5">
        <v>25188.368690563279</v>
      </c>
      <c r="Z64" s="18">
        <v>302260.42428675934</v>
      </c>
    </row>
    <row r="65" spans="2:26" x14ac:dyDescent="0.25">
      <c r="B65" t="str">
        <v>Faizan</v>
      </c>
      <c r="C65" s="23">
        <v>222185</v>
      </c>
      <c r="D65" s="23">
        <v>203168.43452816387</v>
      </c>
      <c r="E65" s="68">
        <v>0</v>
      </c>
      <c r="F65" s="68">
        <v>200198.42721287493</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2602579.5537673743</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2647129.6634967085</v>
      </c>
      <c r="L65" s="23">
        <f>SUMIF(Table14[Party], B65, Table14[Credit])</f>
        <v>2915571</v>
      </c>
      <c r="M65" s="42">
        <f t="shared" si="8"/>
        <v>-268441.3365032915</v>
      </c>
      <c r="N65" s="22">
        <v>10</v>
      </c>
      <c r="O65" s="22">
        <v>13</v>
      </c>
      <c r="X65" s="4" t="s">
        <v>35</v>
      </c>
      <c r="Y65" s="5">
        <v>1004.0234089246526</v>
      </c>
      <c r="Z65" s="18">
        <v>10040.234089246525</v>
      </c>
    </row>
    <row r="66" spans="2:26" x14ac:dyDescent="0.25">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25">
      <c r="B67" t="str">
        <v>Amjad sohail</v>
      </c>
      <c r="C67" s="23">
        <v>108349</v>
      </c>
      <c r="D67" s="23">
        <v>99075.530358449163</v>
      </c>
      <c r="E67" s="68">
        <v>55241.40453547916</v>
      </c>
      <c r="F67" s="68">
        <v>43834.125822970011</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569843.63569861022</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1122257.6810534019</v>
      </c>
      <c r="L67" s="23">
        <f>SUMIF(Table14[Party], B67, Table14[Credit])</f>
        <v>800000</v>
      </c>
      <c r="M67" s="42">
        <f t="shared" si="8"/>
        <v>322257.6810534019</v>
      </c>
      <c r="N67" s="22">
        <v>10</v>
      </c>
      <c r="O67" s="22">
        <v>12</v>
      </c>
      <c r="X67" s="4" t="s">
        <v>27</v>
      </c>
      <c r="Y67" s="5">
        <v>76463.057790782739</v>
      </c>
      <c r="Z67" s="18">
        <v>764630.57790782745</v>
      </c>
    </row>
    <row r="68" spans="2:26" x14ac:dyDescent="0.25">
      <c r="B68" t="str">
        <v>Salman Zaffar</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25">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25">
      <c r="X70" s="4" t="s">
        <v>180</v>
      </c>
      <c r="Y70" s="5">
        <v>0</v>
      </c>
      <c r="Z70" s="18">
        <v>0</v>
      </c>
    </row>
    <row r="71" spans="2:26" x14ac:dyDescent="0.25">
      <c r="X71" s="4" t="s">
        <v>181</v>
      </c>
      <c r="Y71" s="5">
        <v>0</v>
      </c>
      <c r="Z71" s="18">
        <v>0</v>
      </c>
    </row>
    <row r="72" spans="2:26" x14ac:dyDescent="0.25">
      <c r="X72" s="4" t="s">
        <v>183</v>
      </c>
      <c r="Y72" s="5">
        <v>31043.343087051941</v>
      </c>
      <c r="Z72" s="18">
        <v>310433.43087051943</v>
      </c>
    </row>
    <row r="73" spans="2:26" x14ac:dyDescent="0.25">
      <c r="X73" s="4" t="s">
        <v>198</v>
      </c>
      <c r="Y73" s="5">
        <v>203168.43452816387</v>
      </c>
      <c r="Z73" s="18">
        <v>2402381.1265544994</v>
      </c>
    </row>
    <row r="74" spans="2:26" x14ac:dyDescent="0.25">
      <c r="X74" s="4" t="s">
        <v>28</v>
      </c>
      <c r="Y74" s="14">
        <v>1411228.9685442576</v>
      </c>
      <c r="Z74" s="14">
        <v>14872412.216532554</v>
      </c>
    </row>
    <row r="81" spans="2:15" x14ac:dyDescent="0.25">
      <c r="B81" t="s">
        <v>157</v>
      </c>
    </row>
    <row r="83" spans="2:15" x14ac:dyDescent="0.25">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25">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25">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25">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25">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25">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25">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25">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25">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25">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25">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25">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25">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25">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25">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25">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25">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25">
      <c r="B100" t="str">
        <v>Faizan</v>
      </c>
    </row>
    <row r="101" spans="2:15" x14ac:dyDescent="0.25">
      <c r="B101" t="str">
        <v>Shafique Ansari</v>
      </c>
    </row>
    <row r="102" spans="2:15" x14ac:dyDescent="0.25">
      <c r="B102" t="str">
        <v>Amjad sohail</v>
      </c>
    </row>
    <row r="103" spans="2:15" x14ac:dyDescent="0.25">
      <c r="B103" t="str">
        <v>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8" zoomScale="105" workbookViewId="0">
      <selection activeCell="B7" sqref="B7"/>
    </sheetView>
  </sheetViews>
  <sheetFormatPr defaultRowHeight="15" x14ac:dyDescent="0.25"/>
  <cols>
    <col min="2" max="2" width="23.140625" customWidth="1"/>
    <col min="3" max="3" width="14.7109375" customWidth="1"/>
    <col min="4" max="4" width="16.7109375" bestFit="1" customWidth="1"/>
    <col min="5" max="5" width="20.28515625" customWidth="1"/>
    <col min="9" max="9" width="11.7109375" customWidth="1"/>
    <col min="10" max="10" width="12.85546875" customWidth="1"/>
  </cols>
  <sheetData>
    <row r="4" spans="2:10" ht="15.75" x14ac:dyDescent="0.25">
      <c r="C4" s="67"/>
      <c r="D4" s="67"/>
      <c r="I4" t="s">
        <v>34</v>
      </c>
      <c r="J4" t="str" cm="1">
        <f t="array" ref="J4:J23">_xlfn.UNIQUE(Table1[Party Name])</f>
        <v>BSC</v>
      </c>
    </row>
    <row r="5" spans="2:10" x14ac:dyDescent="0.25">
      <c r="J5" t="str">
        <v>Ejaz Sahab</v>
      </c>
    </row>
    <row r="6" spans="2:10" ht="21" x14ac:dyDescent="0.35">
      <c r="B6" s="69" t="s">
        <v>379</v>
      </c>
      <c r="J6" t="str">
        <v>Arshad</v>
      </c>
    </row>
    <row r="7" spans="2:10" ht="15.75" x14ac:dyDescent="0.25">
      <c r="B7" s="67" t="s">
        <v>36</v>
      </c>
      <c r="C7" s="67" t="s">
        <v>4</v>
      </c>
      <c r="D7" s="67" t="s">
        <v>153</v>
      </c>
      <c r="E7" s="67" t="s">
        <v>154</v>
      </c>
      <c r="J7" t="str">
        <v>Shehzad Kamoki</v>
      </c>
    </row>
    <row r="8" spans="2:10" ht="18.75" x14ac:dyDescent="0.3">
      <c r="B8" s="60" t="s">
        <v>37</v>
      </c>
      <c r="C8" s="71"/>
      <c r="D8" s="73" cm="1">
        <f t="array" ref="D8">_xlfn.XLOOKUP($B$6,_xlfn.ANCHORARRAY( Billing!Q5), INDEX(Billing!R5:R25, _xlfn.SEQUENCE(ROWS(_xlfn.ANCHORARRAY(Billing!$Q$5)))), "Not Found")</f>
        <v>2205408</v>
      </c>
      <c r="E8" s="71"/>
      <c r="J8" t="str">
        <v>Sufi Nawaz Sahab</v>
      </c>
    </row>
    <row r="9" spans="2:10" ht="18.75" x14ac:dyDescent="0.3">
      <c r="B9" s="60"/>
      <c r="C9" s="71"/>
      <c r="D9" s="71"/>
      <c r="E9" s="71"/>
      <c r="J9" t="str">
        <v>Sajad Khan</v>
      </c>
    </row>
    <row r="10" spans="2:10" ht="18.75" x14ac:dyDescent="0.3">
      <c r="B10" s="60" t="s">
        <v>38</v>
      </c>
      <c r="C10" s="71"/>
      <c r="D10" s="73" cm="1">
        <f t="array" ref="D10">_xlfn.XLOOKUP($B$6,_xlfn.ANCHORARRAY( Billing!$Q$5), INDEX(Billing!S5:S25, _xlfn.SEQUENCE(ROWS(_xlfn.ANCHORARRAY(Billing!$Q$5)))), "Not Found")</f>
        <v>2016649.5976591078</v>
      </c>
      <c r="E10" s="71"/>
      <c r="J10" t="str">
        <v>Raaz Fabrics</v>
      </c>
    </row>
    <row r="11" spans="2:10" ht="19.5" thickBot="1" x14ac:dyDescent="0.35">
      <c r="B11" s="60"/>
      <c r="C11" s="71"/>
      <c r="D11" s="71"/>
      <c r="E11" s="71"/>
      <c r="J11" t="str">
        <v>Azam</v>
      </c>
    </row>
    <row r="12" spans="2:10" ht="19.5" thickBot="1" x14ac:dyDescent="0.35">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1895402.3408924653</v>
      </c>
      <c r="E12" s="97">
        <f ca="1">Table21[[#This Row],[gazana]]*Table21[[#This Row],[Rate]]</f>
        <v>18954023.408924654</v>
      </c>
      <c r="J12" t="str">
        <v>Ubaidullah</v>
      </c>
    </row>
    <row r="13" spans="2:10" ht="18.75" x14ac:dyDescent="0.3">
      <c r="B13" s="70"/>
      <c r="C13" s="72"/>
      <c r="D13" s="72"/>
      <c r="E13" s="71"/>
      <c r="J13" t="str">
        <v>Ashraf Zia</v>
      </c>
    </row>
    <row r="14" spans="2:10" ht="18.75" x14ac:dyDescent="0.3">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9.5" thickBot="1" x14ac:dyDescent="0.35">
      <c r="B15" s="70"/>
      <c r="C15" s="72"/>
      <c r="D15" s="72"/>
      <c r="E15" s="71"/>
      <c r="J15" t="str">
        <v>Badshah Fabrics</v>
      </c>
    </row>
    <row r="16" spans="2:10" ht="19.5" thickBot="1" x14ac:dyDescent="0.35">
      <c r="B16" s="60" t="s">
        <v>41</v>
      </c>
      <c r="C16" s="71"/>
      <c r="D16" s="96"/>
      <c r="E16" s="98">
        <f ca="1">E12+E14</f>
        <v>20408990.49012436</v>
      </c>
      <c r="J16" t="str">
        <v>Reject</v>
      </c>
    </row>
    <row r="17" spans="2:10" ht="19.5" thickBot="1" x14ac:dyDescent="0.35">
      <c r="B17" s="70"/>
      <c r="C17" s="72"/>
      <c r="D17" s="74"/>
      <c r="E17" s="71"/>
      <c r="J17" t="str">
        <v>Amjad 7up</v>
      </c>
    </row>
    <row r="18" spans="2:10" ht="19.5" thickBot="1" x14ac:dyDescent="0.35">
      <c r="B18" s="60" t="s">
        <v>42</v>
      </c>
      <c r="C18" s="71"/>
      <c r="D18" s="96"/>
      <c r="E18" s="98" cm="1">
        <f t="array" aca="1" ref="E18" ca="1">_xlfn.XLOOKUP($B$6,_xlfn.ANCHORARRAY( Billing!Q5), OFFSET(Billing!AA5, 0, 0, ROWS(_xlfn.ANCHORARRAY(Billing!Q5))), "Not Found")</f>
        <v>18411676</v>
      </c>
      <c r="J18" t="str">
        <v>Hazrat Khan</v>
      </c>
    </row>
    <row r="19" spans="2:10" ht="19.5" thickBot="1" x14ac:dyDescent="0.35">
      <c r="B19" s="60"/>
      <c r="C19" s="71"/>
      <c r="D19" s="73"/>
      <c r="E19" s="71"/>
      <c r="J19" t="str">
        <v>Haseeb Shamsi</v>
      </c>
    </row>
    <row r="20" spans="2:10" ht="19.5" thickBot="1" x14ac:dyDescent="0.35">
      <c r="B20" s="60" t="s">
        <v>43</v>
      </c>
      <c r="C20" s="71"/>
      <c r="D20" s="96"/>
      <c r="E20" s="124" cm="1">
        <f t="array" aca="1" ref="E20" ca="1">_xlfn.XLOOKUP($B$6,_xlfn.ANCHORARRAY( Billing!Q5), OFFSET(Billing!AB5, 0, 0, ROWS(_xlfn.ANCHORARRAY(Billing!Q5))), "Not Found")</f>
        <v>2030205.8580834009</v>
      </c>
      <c r="J20" t="str">
        <v>Faizan</v>
      </c>
    </row>
    <row r="21" spans="2:10" x14ac:dyDescent="0.25">
      <c r="J21" t="str">
        <v>Shafique Ansari</v>
      </c>
    </row>
    <row r="22" spans="2:10" x14ac:dyDescent="0.25">
      <c r="J22" t="str">
        <v>Amjad sohail</v>
      </c>
    </row>
    <row r="23" spans="2:10" x14ac:dyDescent="0.25">
      <c r="J23" t="str">
        <v>Salman Zaffar</v>
      </c>
    </row>
  </sheetData>
  <conditionalFormatting sqref="E20">
    <cfRule type="cellIs" dxfId="13" priority="1" operator="lessThan">
      <formula>20000</formula>
    </cfRule>
    <cfRule type="cellIs" dxfId="1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6" zoomScale="150" workbookViewId="0">
      <selection activeCell="C8" sqref="C8"/>
    </sheetView>
  </sheetViews>
  <sheetFormatPr defaultRowHeight="15" x14ac:dyDescent="0.25"/>
  <cols>
    <col min="2" max="2" width="12.5703125" customWidth="1"/>
    <col min="3" max="3" width="14.5703125" customWidth="1"/>
    <col min="4" max="4" width="28.7109375" customWidth="1"/>
    <col min="5" max="5" width="23.28515625" customWidth="1"/>
    <col min="7" max="7" width="14.7109375" bestFit="1" customWidth="1"/>
    <col min="8" max="8" width="12.28515625" bestFit="1" customWidth="1"/>
    <col min="9" max="9" width="13.5703125" bestFit="1" customWidth="1"/>
    <col min="10" max="11" width="7.85546875" bestFit="1" customWidth="1"/>
    <col min="12" max="12" width="1.7109375" bestFit="1" customWidth="1"/>
    <col min="13" max="13" width="10.28515625" bestFit="1" customWidth="1"/>
    <col min="14" max="14" width="5.7109375" bestFit="1" customWidth="1"/>
    <col min="15" max="15" width="10.28515625" bestFit="1" customWidth="1"/>
    <col min="16" max="16" width="5" bestFit="1" customWidth="1"/>
    <col min="17" max="19" width="6" bestFit="1" customWidth="1"/>
    <col min="20" max="21" width="7" bestFit="1" customWidth="1"/>
    <col min="22" max="22" width="1.7109375" bestFit="1" customWidth="1"/>
    <col min="23" max="23" width="10.28515625" bestFit="1" customWidth="1"/>
  </cols>
  <sheetData>
    <row r="1" spans="1:4" ht="26.25" x14ac:dyDescent="0.4">
      <c r="A1" s="6"/>
      <c r="B1" s="7" t="s">
        <v>44</v>
      </c>
    </row>
    <row r="3" spans="1:4" x14ac:dyDescent="0.25">
      <c r="B3" t="s">
        <v>45</v>
      </c>
      <c r="C3" t="s">
        <v>46</v>
      </c>
      <c r="D3" t="s">
        <v>36</v>
      </c>
    </row>
    <row r="4" spans="1:4" x14ac:dyDescent="0.25">
      <c r="B4" t="s">
        <v>47</v>
      </c>
      <c r="C4" s="11">
        <f>Wood!K6+((317*775)+ (100*650))-567000</f>
        <v>8295455</v>
      </c>
      <c r="D4" t="s">
        <v>228</v>
      </c>
    </row>
    <row r="5" spans="1:4" x14ac:dyDescent="0.25">
      <c r="B5" t="s">
        <v>48</v>
      </c>
      <c r="C5" s="11">
        <f>SUM(Table8[Price])+Table2325[[#Totals],[total]]-280870</f>
        <v>779130</v>
      </c>
    </row>
    <row r="6" spans="1:4" x14ac:dyDescent="0.25">
      <c r="B6" t="s">
        <v>49</v>
      </c>
      <c r="C6" s="11">
        <f>SUM(Table2[Price])+Finish!J30</f>
        <v>937516.66666666663</v>
      </c>
      <c r="D6" t="s">
        <v>229</v>
      </c>
    </row>
    <row r="7" spans="1:4" x14ac:dyDescent="0.25">
      <c r="B7" t="s">
        <v>50</v>
      </c>
      <c r="C7" s="11">
        <f>SUMIFS(Table14[Debit], Table14[Party],Table12[[#This Row],[Type]])</f>
        <v>41020</v>
      </c>
    </row>
    <row r="8" spans="1:4" x14ac:dyDescent="0.25">
      <c r="B8" t="s">
        <v>51</v>
      </c>
      <c r="C8" s="11">
        <f>Electricity!E3</f>
        <v>1800000</v>
      </c>
    </row>
    <row r="9" spans="1:4" x14ac:dyDescent="0.25">
      <c r="B9" t="s">
        <v>52</v>
      </c>
      <c r="C9" s="11">
        <f>Table11[[#Totals],[Amount]]+'Salary Acc'!I36</f>
        <v>1357870</v>
      </c>
    </row>
    <row r="10" spans="1:4" x14ac:dyDescent="0.25">
      <c r="B10" t="s">
        <v>53</v>
      </c>
      <c r="C10" s="11">
        <f>Table5[[#Totals],[Amount]]</f>
        <v>141950</v>
      </c>
    </row>
    <row r="11" spans="1:4" x14ac:dyDescent="0.25">
      <c r="B11" t="s">
        <v>54</v>
      </c>
      <c r="C11" s="11">
        <f>Table13[[#Totals],[Debit]]</f>
        <v>112060</v>
      </c>
    </row>
    <row r="12" spans="1:4" x14ac:dyDescent="0.25">
      <c r="B12" t="s">
        <v>55</v>
      </c>
      <c r="C12" s="11">
        <f>Table15[[#Totals],[Amount]]</f>
        <v>478642</v>
      </c>
    </row>
    <row r="13" spans="1:4" x14ac:dyDescent="0.25">
      <c r="C13" s="11"/>
    </row>
    <row r="14" spans="1:4" x14ac:dyDescent="0.25">
      <c r="C14" s="14">
        <f>SUM(Table12[Amount])</f>
        <v>13943643.666666666</v>
      </c>
    </row>
    <row r="17" spans="2:4" x14ac:dyDescent="0.25">
      <c r="B17" t="s">
        <v>56</v>
      </c>
    </row>
    <row r="18" spans="2:4" x14ac:dyDescent="0.25">
      <c r="B18" t="s">
        <v>57</v>
      </c>
      <c r="C18" t="s">
        <v>58</v>
      </c>
      <c r="D18" t="s">
        <v>59</v>
      </c>
    </row>
    <row r="19" spans="2:4" x14ac:dyDescent="0.25">
      <c r="B19" t="s">
        <v>47</v>
      </c>
      <c r="C19">
        <f>388+236+100+288</f>
        <v>1012</v>
      </c>
      <c r="D19" t="s">
        <v>60</v>
      </c>
    </row>
    <row r="20" spans="2:4" x14ac:dyDescent="0.25">
      <c r="B20" t="s">
        <v>61</v>
      </c>
      <c r="C20">
        <v>100</v>
      </c>
      <c r="D20" t="s">
        <v>62</v>
      </c>
    </row>
    <row r="21" spans="2:4" x14ac:dyDescent="0.25">
      <c r="B21" t="s">
        <v>63</v>
      </c>
      <c r="C21">
        <v>75</v>
      </c>
      <c r="D21" t="s">
        <v>62</v>
      </c>
    </row>
    <row r="22" spans="2:4" x14ac:dyDescent="0.25">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5" x14ac:dyDescent="0.25"/>
  <cols>
    <col min="2" max="2" width="11.7109375" customWidth="1"/>
    <col min="3" max="3" width="13" bestFit="1" customWidth="1"/>
    <col min="6" max="6" width="11.140625" customWidth="1"/>
    <col min="8" max="8" width="10.28515625" bestFit="1" customWidth="1"/>
  </cols>
  <sheetData>
    <row r="2" spans="1:3" x14ac:dyDescent="0.25">
      <c r="B2" s="11" t="s">
        <v>66</v>
      </c>
      <c r="C2" s="11" t="s">
        <v>67</v>
      </c>
    </row>
    <row r="3" spans="1:3" x14ac:dyDescent="0.25">
      <c r="B3" s="11" t="s">
        <v>0</v>
      </c>
      <c r="C3" s="11">
        <f>Billing!C23 + SUMIFS(Table14[Credit], Table14[Party], "Transport")</f>
        <v>17072918.800292611</v>
      </c>
    </row>
    <row r="4" spans="1:3" x14ac:dyDescent="0.25">
      <c r="B4" s="11" t="s">
        <v>44</v>
      </c>
      <c r="C4" s="11">
        <f>Table12[[#Totals],[Amount]]</f>
        <v>13943643.666666666</v>
      </c>
    </row>
    <row r="5" spans="1:3" x14ac:dyDescent="0.25">
      <c r="A5" s="6"/>
      <c r="B5" s="15" t="s">
        <v>68</v>
      </c>
      <c r="C5" s="15">
        <f>C3-C4</f>
        <v>3129275.1336259451</v>
      </c>
    </row>
    <row r="10" spans="1:3" ht="15.75" thickBot="1" x14ac:dyDescent="0.3">
      <c r="B10" t="s">
        <v>66</v>
      </c>
      <c r="C10" s="14" t="s">
        <v>67</v>
      </c>
    </row>
    <row r="11" spans="1:3" x14ac:dyDescent="0.25">
      <c r="B11" s="61" t="s">
        <v>0</v>
      </c>
      <c r="C11" s="62">
        <f>C3</f>
        <v>17072918.800292611</v>
      </c>
    </row>
    <row r="12" spans="1:3" x14ac:dyDescent="0.25">
      <c r="B12" s="63" t="s">
        <v>69</v>
      </c>
      <c r="C12" s="64">
        <f>SUM(Table14[Credit])</f>
        <v>21533290</v>
      </c>
    </row>
    <row r="13" spans="1:3" ht="15.75" thickBot="1" x14ac:dyDescent="0.3">
      <c r="B13" s="79" t="s">
        <v>96</v>
      </c>
      <c r="C13" s="78">
        <f>(C11-C12)</f>
        <v>-4460371.1997073889</v>
      </c>
    </row>
    <row r="14" spans="1:3" ht="15.75" thickBot="1" x14ac:dyDescent="0.3">
      <c r="B14" s="63"/>
      <c r="C14" s="64"/>
    </row>
    <row r="15" spans="1:3" x14ac:dyDescent="0.25">
      <c r="B15" s="61" t="s">
        <v>44</v>
      </c>
      <c r="C15" s="62">
        <f>C4</f>
        <v>13943643.666666666</v>
      </c>
    </row>
    <row r="16" spans="1:3" x14ac:dyDescent="0.25">
      <c r="B16" s="63" t="s">
        <v>70</v>
      </c>
      <c r="C16" s="64">
        <f>SUM(Table14[Debit])</f>
        <v>21425938</v>
      </c>
    </row>
    <row r="17" spans="2:6" ht="15.75" thickBot="1" x14ac:dyDescent="0.3">
      <c r="B17" s="79" t="s">
        <v>71</v>
      </c>
      <c r="C17" s="78">
        <f>C15-C16</f>
        <v>-7482294.333333334</v>
      </c>
    </row>
    <row r="18" spans="2:6" ht="15.75" thickBot="1" x14ac:dyDescent="0.3">
      <c r="B18" s="63"/>
      <c r="C18" s="64"/>
    </row>
    <row r="19" spans="2:6" ht="15.75" thickBot="1" x14ac:dyDescent="0.3">
      <c r="B19" s="80" t="s">
        <v>72</v>
      </c>
      <c r="C19" s="81">
        <f>Table18[[#Totals],[amount]]</f>
        <v>107352</v>
      </c>
    </row>
    <row r="20" spans="2:6" ht="15.75" thickBot="1" x14ac:dyDescent="0.3">
      <c r="B20" s="76"/>
      <c r="C20" s="77"/>
    </row>
    <row r="21" spans="2:6" ht="15.75" thickBot="1" x14ac:dyDescent="0.3">
      <c r="B21" s="65" t="s">
        <v>73</v>
      </c>
      <c r="C21" s="66">
        <f>(C13-C17)+C19</f>
        <v>3129275.1336259451</v>
      </c>
      <c r="E21" s="84" t="s">
        <v>74</v>
      </c>
      <c r="F21" s="85">
        <f>C5*0.05</f>
        <v>156463.75668129727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5" x14ac:dyDescent="0.25"/>
  <cols>
    <col min="2" max="2" width="10.28515625" bestFit="1" customWidth="1"/>
    <col min="4" max="4" width="9.28515625" customWidth="1"/>
  </cols>
  <sheetData>
    <row r="2" spans="2:6" x14ac:dyDescent="0.25">
      <c r="B2" t="s">
        <v>75</v>
      </c>
      <c r="C2" t="s">
        <v>45</v>
      </c>
      <c r="D2" t="s">
        <v>70</v>
      </c>
      <c r="E2" t="s">
        <v>69</v>
      </c>
      <c r="F2" t="s">
        <v>76</v>
      </c>
    </row>
    <row r="3" spans="2:6" x14ac:dyDescent="0.25">
      <c r="B3" s="1">
        <v>45946</v>
      </c>
      <c r="D3">
        <f>SUMIFS(Table14[Debit], Table14[Date], Table13[[#This Row],[Date]], Table14[Party], "Transport")</f>
        <v>0</v>
      </c>
      <c r="E3">
        <f>SUMIFS(Table14[Credit], Table14[Date], Table13[[#This Row],[Date]], Table14[Party], "Transport")</f>
        <v>0</v>
      </c>
    </row>
    <row r="4" spans="2:6" x14ac:dyDescent="0.25">
      <c r="B4" s="1">
        <v>45947</v>
      </c>
      <c r="D4">
        <f>SUMIFS(Table14[Debit], Table14[Date], Table13[[#This Row],[Date]], Table14[Party], "Transport")</f>
        <v>0</v>
      </c>
      <c r="E4">
        <f>SUMIFS(Table14[Credit], Table14[Date], Table13[[#This Row],[Date]], Table14[Party], "Transport")</f>
        <v>0</v>
      </c>
    </row>
    <row r="5" spans="2:6" x14ac:dyDescent="0.25">
      <c r="B5" s="1">
        <v>45948</v>
      </c>
      <c r="D5">
        <f>SUMIFS(Table14[Debit], Table14[Date], Table13[[#This Row],[Date]], Table14[Party], "Transport")</f>
        <v>5330</v>
      </c>
      <c r="E5">
        <f>SUMIFS(Table14[Credit], Table14[Date], Table13[[#This Row],[Date]], Table14[Party], "Transport")</f>
        <v>0</v>
      </c>
    </row>
    <row r="6" spans="2:6" x14ac:dyDescent="0.25">
      <c r="B6" s="1">
        <v>45949</v>
      </c>
      <c r="D6">
        <f>SUMIFS(Table14[Debit], Table14[Date], Table13[[#This Row],[Date]], Table14[Party], "Transport")</f>
        <v>0</v>
      </c>
      <c r="E6">
        <f>SUMIFS(Table14[Credit], Table14[Date], Table13[[#This Row],[Date]], Table14[Party], "Transport")</f>
        <v>0</v>
      </c>
    </row>
    <row r="7" spans="2:6" x14ac:dyDescent="0.25">
      <c r="B7" s="1">
        <v>45950</v>
      </c>
      <c r="D7">
        <f>SUMIFS(Table14[Debit], Table14[Date], Table13[[#This Row],[Date]], Table14[Party], "Transport")</f>
        <v>1000</v>
      </c>
      <c r="E7">
        <f>SUMIFS(Table14[Credit], Table14[Date], Table13[[#This Row],[Date]], Table14[Party], "Transport")</f>
        <v>0</v>
      </c>
    </row>
    <row r="8" spans="2:6" x14ac:dyDescent="0.25">
      <c r="B8" s="1">
        <v>45951</v>
      </c>
      <c r="D8">
        <f>SUMIFS(Table14[Debit], Table14[Date], Table13[[#This Row],[Date]], Table14[Party], "Transport")</f>
        <v>6311</v>
      </c>
      <c r="E8">
        <f>SUMIFS(Table14[Credit], Table14[Date], Table13[[#This Row],[Date]], Table14[Party], "Transport")</f>
        <v>0</v>
      </c>
    </row>
    <row r="9" spans="2:6" x14ac:dyDescent="0.25">
      <c r="B9" s="1">
        <v>45952</v>
      </c>
      <c r="D9">
        <f>SUMIFS(Table14[Debit], Table14[Date], Table13[[#This Row],[Date]], Table14[Party], "Transport")</f>
        <v>1600</v>
      </c>
      <c r="E9">
        <f>SUMIFS(Table14[Credit], Table14[Date], Table13[[#This Row],[Date]], Table14[Party], "Transport")</f>
        <v>0</v>
      </c>
    </row>
    <row r="10" spans="2:6" x14ac:dyDescent="0.25">
      <c r="B10" s="1">
        <v>45953</v>
      </c>
      <c r="D10">
        <f>SUMIFS(Table14[Debit], Table14[Date], Table13[[#This Row],[Date]], Table14[Party], "Transport")</f>
        <v>1000</v>
      </c>
      <c r="E10">
        <f>SUMIFS(Table14[Credit], Table14[Date], Table13[[#This Row],[Date]], Table14[Party], "Transport")</f>
        <v>0</v>
      </c>
    </row>
    <row r="11" spans="2:6" x14ac:dyDescent="0.25">
      <c r="B11" s="1">
        <v>45954</v>
      </c>
      <c r="D11">
        <f>SUMIFS(Table14[Debit], Table14[Date], Table13[[#This Row],[Date]], Table14[Party], "Transport")</f>
        <v>7111</v>
      </c>
      <c r="E11">
        <f>SUMIFS(Table14[Credit], Table14[Date], Table13[[#This Row],[Date]], Table14[Party], "Transport")</f>
        <v>0</v>
      </c>
    </row>
    <row r="12" spans="2:6" x14ac:dyDescent="0.25">
      <c r="B12" s="1">
        <v>45955</v>
      </c>
      <c r="D12">
        <f>SUMIFS(Table14[Debit], Table14[Date], Table13[[#This Row],[Date]], Table14[Party], "Transport")</f>
        <v>0</v>
      </c>
      <c r="E12">
        <f>SUMIFS(Table14[Credit], Table14[Date], Table13[[#This Row],[Date]], Table14[Party], "Transport")</f>
        <v>0</v>
      </c>
    </row>
    <row r="13" spans="2:6" x14ac:dyDescent="0.25">
      <c r="B13" s="1">
        <v>45956</v>
      </c>
      <c r="D13">
        <f>SUMIFS(Table14[Debit], Table14[Date], Table13[[#This Row],[Date]], Table14[Party], "Transport")</f>
        <v>0</v>
      </c>
      <c r="E13">
        <f>SUMIFS(Table14[Credit], Table14[Date], Table13[[#This Row],[Date]], Table14[Party], "Transport")</f>
        <v>0</v>
      </c>
    </row>
    <row r="14" spans="2:6" x14ac:dyDescent="0.25">
      <c r="B14" s="1">
        <v>45957</v>
      </c>
      <c r="D14">
        <f>SUMIFS(Table14[Debit], Table14[Date], Table13[[#This Row],[Date]], Table14[Party], "Transport")</f>
        <v>0</v>
      </c>
      <c r="E14">
        <f>SUMIFS(Table14[Credit], Table14[Date], Table13[[#This Row],[Date]], Table14[Party], "Transport")</f>
        <v>0</v>
      </c>
    </row>
    <row r="15" spans="2:6" x14ac:dyDescent="0.25">
      <c r="B15" s="1">
        <v>45958</v>
      </c>
      <c r="D15">
        <f>SUMIFS(Table14[Debit], Table14[Date], Table13[[#This Row],[Date]], Table14[Party], "Transport")</f>
        <v>2000</v>
      </c>
      <c r="E15">
        <f>SUMIFS(Table14[Credit], Table14[Date], Table13[[#This Row],[Date]], Table14[Party], "Transport")</f>
        <v>0</v>
      </c>
    </row>
    <row r="16" spans="2:6" x14ac:dyDescent="0.25">
      <c r="B16" s="1">
        <v>45959</v>
      </c>
      <c r="D16">
        <f>SUMIFS(Table14[Debit], Table14[Date], Table13[[#This Row],[Date]], Table14[Party], "Transport")</f>
        <v>7303</v>
      </c>
      <c r="E16">
        <f>SUMIFS(Table14[Credit], Table14[Date], Table13[[#This Row],[Date]], Table14[Party], "Transport")</f>
        <v>0</v>
      </c>
    </row>
    <row r="17" spans="2:5" x14ac:dyDescent="0.25">
      <c r="B17" s="1">
        <v>45960</v>
      </c>
      <c r="D17">
        <f>SUMIFS(Table14[Debit], Table14[Date], Table13[[#This Row],[Date]], Table14[Party], "Transport")</f>
        <v>6311</v>
      </c>
      <c r="E17">
        <f>SUMIFS(Table14[Credit], Table14[Date], Table13[[#This Row],[Date]], Table14[Party], "Transport")</f>
        <v>0</v>
      </c>
    </row>
    <row r="18" spans="2:5" x14ac:dyDescent="0.25">
      <c r="B18" s="1">
        <v>45961</v>
      </c>
      <c r="D18">
        <f>SUMIFS(Table14[Debit], Table14[Date], Table13[[#This Row],[Date]], Table14[Party], "Transport")</f>
        <v>0</v>
      </c>
      <c r="E18">
        <f>SUMIFS(Table14[Credit], Table14[Date], Table13[[#This Row],[Date]], Table14[Party], "Transport")</f>
        <v>0</v>
      </c>
    </row>
    <row r="19" spans="2:5" x14ac:dyDescent="0.25">
      <c r="B19" s="1">
        <v>45962</v>
      </c>
      <c r="D19">
        <f>SUMIFS(Table14[Debit], Table14[Date], Table13[[#This Row],[Date]], Table14[Party], "Transport")</f>
        <v>12574</v>
      </c>
      <c r="E19">
        <f>SUMIFS(Table14[Credit], Table14[Date], Table13[[#This Row],[Date]], Table14[Party], "Transport")</f>
        <v>0</v>
      </c>
    </row>
    <row r="20" spans="2:5" x14ac:dyDescent="0.25">
      <c r="B20" s="1">
        <v>45963</v>
      </c>
      <c r="D20">
        <f>SUMIFS(Table14[Debit], Table14[Date], Table13[[#This Row],[Date]], Table14[Party], "Transport")</f>
        <v>0</v>
      </c>
      <c r="E20">
        <f>SUMIFS(Table14[Credit], Table14[Date], Table13[[#This Row],[Date]], Table14[Party], "Transport")</f>
        <v>0</v>
      </c>
    </row>
    <row r="21" spans="2:5" x14ac:dyDescent="0.25">
      <c r="B21" s="1">
        <v>45964</v>
      </c>
      <c r="D21">
        <f>SUMIFS(Table14[Debit], Table14[Date], Table13[[#This Row],[Date]], Table14[Party], "Transport")</f>
        <v>13200</v>
      </c>
      <c r="E21">
        <f>SUMIFS(Table14[Credit], Table14[Date], Table13[[#This Row],[Date]], Table14[Party], "Transport")</f>
        <v>0</v>
      </c>
    </row>
    <row r="22" spans="2:5" x14ac:dyDescent="0.25">
      <c r="B22" s="1">
        <v>45965</v>
      </c>
      <c r="D22">
        <f>SUMIFS(Table14[Debit], Table14[Date], Table13[[#This Row],[Date]], Table14[Party], "Transport")</f>
        <v>0</v>
      </c>
      <c r="E22">
        <f>SUMIFS(Table14[Credit], Table14[Date], Table13[[#This Row],[Date]], Table14[Party], "Transport")</f>
        <v>0</v>
      </c>
    </row>
    <row r="23" spans="2:5" x14ac:dyDescent="0.25">
      <c r="B23" s="1">
        <v>45966</v>
      </c>
      <c r="D23">
        <f>SUMIFS(Table14[Debit], Table14[Date], Table13[[#This Row],[Date]], Table14[Party], "Transport")</f>
        <v>0</v>
      </c>
      <c r="E23">
        <f>SUMIFS(Table14[Credit], Table14[Date], Table13[[#This Row],[Date]], Table14[Party], "Transport")</f>
        <v>0</v>
      </c>
    </row>
    <row r="24" spans="2:5" x14ac:dyDescent="0.25">
      <c r="B24" s="1">
        <v>45967</v>
      </c>
      <c r="D24">
        <f>SUMIFS(Table14[Debit], Table14[Date], Table13[[#This Row],[Date]], Table14[Party], "Transport")</f>
        <v>1000</v>
      </c>
      <c r="E24">
        <f>SUMIFS(Table14[Credit], Table14[Date], Table13[[#This Row],[Date]], Table14[Party], "Transport")</f>
        <v>0</v>
      </c>
    </row>
    <row r="25" spans="2:5" x14ac:dyDescent="0.25">
      <c r="B25" s="1">
        <v>45968</v>
      </c>
      <c r="D25">
        <f>SUMIFS(Table14[Debit], Table14[Date], Table13[[#This Row],[Date]], Table14[Party], "Transport")</f>
        <v>1500</v>
      </c>
      <c r="E25">
        <f>SUMIFS(Table14[Credit], Table14[Date], Table13[[#This Row],[Date]], Table14[Party], "Transport")</f>
        <v>0</v>
      </c>
    </row>
    <row r="26" spans="2:5" x14ac:dyDescent="0.25">
      <c r="B26" s="1">
        <v>45969</v>
      </c>
      <c r="D26">
        <f>SUMIFS(Table14[Debit], Table14[Date], Table13[[#This Row],[Date]], Table14[Party], "Transport")</f>
        <v>2000</v>
      </c>
      <c r="E26">
        <f>SUMIFS(Table14[Credit], Table14[Date], Table13[[#This Row],[Date]], Table14[Party], "Transport")</f>
        <v>0</v>
      </c>
    </row>
    <row r="27" spans="2:5" x14ac:dyDescent="0.25">
      <c r="B27" s="1">
        <v>45970</v>
      </c>
      <c r="D27">
        <f>SUMIFS(Table14[Debit], Table14[Date], Table13[[#This Row],[Date]], Table14[Party], "Transport")</f>
        <v>0</v>
      </c>
      <c r="E27">
        <f>SUMIFS(Table14[Credit], Table14[Date], Table13[[#This Row],[Date]], Table14[Party], "Transport")</f>
        <v>0</v>
      </c>
    </row>
    <row r="28" spans="2:5" x14ac:dyDescent="0.25">
      <c r="B28" s="1">
        <v>45971</v>
      </c>
      <c r="D28">
        <f>SUMIFS(Table14[Debit], Table14[Date], Table13[[#This Row],[Date]], Table14[Party], "Transport")</f>
        <v>8530</v>
      </c>
      <c r="E28">
        <f>SUMIFS(Table14[Credit], Table14[Date], Table13[[#This Row],[Date]], Table14[Party], "Transport")</f>
        <v>0</v>
      </c>
    </row>
    <row r="29" spans="2:5" x14ac:dyDescent="0.25">
      <c r="B29" s="1">
        <v>45972</v>
      </c>
      <c r="D29">
        <f>SUMIFS(Table14[Debit], Table14[Date], Table13[[#This Row],[Date]], Table14[Party], "Transport")</f>
        <v>12790</v>
      </c>
      <c r="E29">
        <f>SUMIFS(Table14[Credit], Table14[Date], Table13[[#This Row],[Date]], Table14[Party], "Transport")</f>
        <v>0</v>
      </c>
    </row>
    <row r="30" spans="2:5" x14ac:dyDescent="0.25">
      <c r="B30" s="1">
        <v>45973</v>
      </c>
      <c r="D30">
        <f>SUMIFS(Table14[Debit], Table14[Date], Table13[[#This Row],[Date]], Table14[Party], "Transport")</f>
        <v>8500</v>
      </c>
      <c r="E30">
        <f>SUMIFS(Table14[Credit], Table14[Date], Table13[[#This Row],[Date]], Table14[Party], "Transport")</f>
        <v>0</v>
      </c>
    </row>
    <row r="31" spans="2:5" x14ac:dyDescent="0.25">
      <c r="B31" s="1">
        <v>45974</v>
      </c>
      <c r="D31">
        <f>SUMIFS(Table14[Debit], Table14[Date], Table13[[#This Row],[Date]], Table14[Party], "Transport")</f>
        <v>0</v>
      </c>
      <c r="E31">
        <f>SUMIFS(Table14[Credit], Table14[Date], Table13[[#This Row],[Date]], Table14[Party], "Transport")</f>
        <v>0</v>
      </c>
    </row>
    <row r="32" spans="2:5" x14ac:dyDescent="0.25">
      <c r="B32" s="1">
        <v>45975</v>
      </c>
      <c r="D32">
        <f>SUMIFS(Table14[Debit], Table14[Date], Table13[[#This Row],[Date]], Table14[Party], "Transport")</f>
        <v>2700</v>
      </c>
      <c r="E32">
        <f>SUMIFS(Table14[Credit], Table14[Date], Table13[[#This Row],[Date]], Table14[Party], "Transport")</f>
        <v>0</v>
      </c>
    </row>
    <row r="33" spans="2:6" x14ac:dyDescent="0.25">
      <c r="B33" s="1">
        <v>45976</v>
      </c>
      <c r="D33">
        <f>SUMIFS(Table14[Debit], Table14[Date], Table13[[#This Row],[Date]], Table14[Party], "Transport")</f>
        <v>11300</v>
      </c>
      <c r="E33">
        <f>SUMIFS(Table14[Credit], Table14[Date], Table13[[#This Row],[Date]], Table14[Party], "Transport")</f>
        <v>0</v>
      </c>
    </row>
    <row r="34" spans="2:6" x14ac:dyDescent="0.25">
      <c r="B34" s="1">
        <v>45977</v>
      </c>
      <c r="D34">
        <f>SUMIFS(Table14[Debit], Table14[Date], Table13[[#This Row],[Date]], Table14[Party], "Transport")</f>
        <v>0</v>
      </c>
      <c r="E34">
        <f>SUMIFS(Table14[Credit], Table14[Date], Table13[[#This Row],[Date]], Table14[Party], "Transport")</f>
        <v>0</v>
      </c>
    </row>
    <row r="35" spans="2:6" x14ac:dyDescent="0.25">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8"/>
  <sheetViews>
    <sheetView topLeftCell="A67" zoomScale="90" zoomScaleNormal="90" workbookViewId="0">
      <selection activeCell="D141" sqref="D141"/>
    </sheetView>
  </sheetViews>
  <sheetFormatPr defaultColWidth="8.85546875" defaultRowHeight="15" x14ac:dyDescent="0.25"/>
  <cols>
    <col min="1" max="1" width="16.5703125" style="10" bestFit="1" customWidth="1"/>
    <col min="2" max="2" width="16.140625" style="10" bestFit="1" customWidth="1"/>
    <col min="3" max="3" width="20.7109375" style="10" customWidth="1"/>
    <col min="4" max="4" width="21.7109375" style="10" bestFit="1" customWidth="1"/>
    <col min="5" max="5" width="16.7109375" style="10" bestFit="1" customWidth="1"/>
    <col min="6" max="6" width="19.140625" style="10" bestFit="1" customWidth="1"/>
    <col min="7" max="7" width="13.42578125" style="10" bestFit="1" customWidth="1"/>
    <col min="8" max="8" width="18" style="10" bestFit="1" customWidth="1"/>
    <col min="9" max="9" width="13.42578125" style="10" customWidth="1"/>
    <col min="10" max="10" width="19.140625" style="10" bestFit="1" customWidth="1"/>
    <col min="11" max="11" width="13.42578125" style="10" bestFit="1" customWidth="1"/>
    <col min="12" max="12" width="15.5703125" style="10" bestFit="1" customWidth="1"/>
    <col min="13" max="13" width="15.85546875" style="10" bestFit="1" customWidth="1"/>
    <col min="14" max="15" width="15.5703125" style="10" bestFit="1" customWidth="1"/>
    <col min="16" max="16" width="16.5703125" style="10" bestFit="1" customWidth="1"/>
    <col min="17" max="17" width="16.140625" style="10" bestFit="1" customWidth="1"/>
    <col min="18" max="18" width="18" style="10" bestFit="1" customWidth="1"/>
    <col min="19" max="19" width="12.7109375" style="10" bestFit="1" customWidth="1"/>
    <col min="20" max="20" width="17.42578125" style="10" bestFit="1" customWidth="1"/>
    <col min="21" max="21" width="13" style="10" bestFit="1" customWidth="1"/>
    <col min="22" max="22" width="18" style="10" bestFit="1" customWidth="1"/>
    <col min="23" max="23" width="12.7109375" style="10" bestFit="1" customWidth="1"/>
    <col min="24" max="25" width="17.28515625" style="10" bestFit="1" customWidth="1"/>
    <col min="26" max="26" width="20.85546875" style="10" bestFit="1" customWidth="1"/>
    <col min="27" max="27" width="20.28515625" style="10" bestFit="1" customWidth="1"/>
    <col min="28" max="28" width="21.7109375" style="10" bestFit="1" customWidth="1"/>
    <col min="29" max="16384" width="8.85546875" style="10"/>
  </cols>
  <sheetData>
    <row r="1" spans="1:28" x14ac:dyDescent="0.25">
      <c r="A1" s="30" t="s">
        <v>75</v>
      </c>
      <c r="B1" s="30" t="s">
        <v>2</v>
      </c>
      <c r="C1" s="30" t="s">
        <v>77</v>
      </c>
      <c r="D1" s="30" t="s">
        <v>78</v>
      </c>
      <c r="E1" s="30" t="s">
        <v>79</v>
      </c>
      <c r="F1" s="30" t="s">
        <v>80</v>
      </c>
      <c r="G1" s="30" t="s">
        <v>81</v>
      </c>
      <c r="H1" s="31" t="s">
        <v>82</v>
      </c>
      <c r="I1" s="31" t="s">
        <v>83</v>
      </c>
      <c r="J1" s="31" t="s">
        <v>84</v>
      </c>
      <c r="K1" s="31" t="s">
        <v>41</v>
      </c>
    </row>
    <row r="2" spans="1:28" x14ac:dyDescent="0.25">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25">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25">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25">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25">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25">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25">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25">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25">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25">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25">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25">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25">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25">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25">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25">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25">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25">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25">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25">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25">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25">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25">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25">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25">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25">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25">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25">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25">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25">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25">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25">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25">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25">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25">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25">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25">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25">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25">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25">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25">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25">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25">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25">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25">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25">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25">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25">
      <c r="A49" s="28">
        <v>45952</v>
      </c>
      <c r="B49" s="29" t="s">
        <v>249</v>
      </c>
      <c r="C49" s="29">
        <v>1000</v>
      </c>
      <c r="D49" s="29" t="s">
        <v>87</v>
      </c>
      <c r="E49" s="11">
        <v>1834</v>
      </c>
      <c r="F49" s="11">
        <v>18060</v>
      </c>
      <c r="G49" s="11">
        <v>1662</v>
      </c>
      <c r="H49" s="32">
        <f>_xlfn.XLOOKUP(Table1[[#This Row],[Shipment Number]], 'pivot '!A:A,'pivot '!G:G, "NF")</f>
        <v>3.1058383782903434</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25">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25">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25">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25">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25">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25">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25">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25">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25">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25">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25">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25">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25">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25">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25">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25">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25">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25">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25">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25">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25">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25">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25">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25">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25">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25">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25">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25">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25">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25">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25">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25">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25">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25">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25">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25">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25">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25">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25">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25">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25">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25">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25">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25">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25">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25">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25">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25">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25">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25">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25">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25">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25">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25">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25">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25">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25">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25">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25">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25">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25">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25">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25">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25">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25">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25">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25">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25">
      <c r="A117" s="28">
        <v>45969</v>
      </c>
      <c r="B117" s="29" t="s">
        <v>170</v>
      </c>
      <c r="C117" s="29">
        <v>1068</v>
      </c>
      <c r="D117" s="29" t="s">
        <v>85</v>
      </c>
      <c r="E117" s="11" t="s">
        <v>401</v>
      </c>
      <c r="F117" s="11">
        <v>69241</v>
      </c>
      <c r="G117" s="11">
        <v>6886</v>
      </c>
      <c r="H117" s="32">
        <f>_xlfn.XLOOKUP(Table1[[#This Row],[Shipment Number]], 'pivot '!A:A,'pivot '!G:G, "NF")</f>
        <v>23.381537087995198</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25">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25">
      <c r="A119" s="28">
        <v>45969</v>
      </c>
      <c r="B119" s="29" t="s">
        <v>170</v>
      </c>
      <c r="C119" s="29">
        <v>1070</v>
      </c>
      <c r="D119" s="29" t="s">
        <v>85</v>
      </c>
      <c r="E119" s="11" t="s">
        <v>401</v>
      </c>
      <c r="F119" s="11">
        <v>69241</v>
      </c>
      <c r="G119" s="11">
        <v>6195</v>
      </c>
      <c r="H119" s="32">
        <f>_xlfn.XLOOKUP(Table1[[#This Row],[Shipment Number]], 'pivot '!A:A,'pivot '!G:G, "NF")</f>
        <v>23.381537087995198</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25">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25">
      <c r="A121" s="28">
        <v>45969</v>
      </c>
      <c r="B121" s="29" t="s">
        <v>21</v>
      </c>
      <c r="C121" s="29">
        <v>1072</v>
      </c>
      <c r="D121" s="29" t="s">
        <v>85</v>
      </c>
      <c r="E121" s="11">
        <v>1896</v>
      </c>
      <c r="F121" s="11">
        <v>100762</v>
      </c>
      <c r="G121" s="11">
        <v>18874</v>
      </c>
      <c r="H121" s="32">
        <f>_xlfn.XLOOKUP(Table1[[#This Row],[Shipment Number]], 'pivot '!A:A,'pivot '!G:G, "NF")</f>
        <v>2.392452757972535</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25">
      <c r="A122" s="28">
        <v>45975</v>
      </c>
      <c r="B122" s="29" t="s">
        <v>21</v>
      </c>
      <c r="C122" s="29">
        <v>1073</v>
      </c>
      <c r="D122" s="29" t="s">
        <v>85</v>
      </c>
      <c r="E122" s="11">
        <v>1896</v>
      </c>
      <c r="F122" s="11">
        <v>100762</v>
      </c>
      <c r="G122" s="11">
        <v>33547</v>
      </c>
      <c r="H122" s="32">
        <f>_xlfn.XLOOKUP(Table1[[#This Row],[Shipment Number]], 'pivot '!A:A,'pivot '!G:G, "NF")</f>
        <v>2.392452757972535</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25">
      <c r="A123" s="28">
        <v>45975</v>
      </c>
      <c r="B123" s="29" t="s">
        <v>21</v>
      </c>
      <c r="C123" s="29">
        <v>1074</v>
      </c>
      <c r="D123" s="29" t="s">
        <v>85</v>
      </c>
      <c r="E123" s="11">
        <v>1896</v>
      </c>
      <c r="F123" s="11">
        <v>100762</v>
      </c>
      <c r="G123" s="11">
        <v>15100</v>
      </c>
      <c r="H123" s="32">
        <f>_xlfn.XLOOKUP(Table1[[#This Row],[Shipment Number]], 'pivot '!A:A,'pivot '!G:G, "NF")</f>
        <v>2.392452757972535</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25">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25">
      <c r="A125" s="28">
        <v>45975</v>
      </c>
      <c r="B125" s="29" t="s">
        <v>21</v>
      </c>
      <c r="C125" s="29">
        <v>1076</v>
      </c>
      <c r="D125" s="29" t="s">
        <v>85</v>
      </c>
      <c r="E125" s="11">
        <v>1896</v>
      </c>
      <c r="F125" s="11">
        <v>100762</v>
      </c>
      <c r="G125" s="11">
        <v>23120</v>
      </c>
      <c r="H125" s="32">
        <f>_xlfn.XLOOKUP(Table1[[#This Row],[Shipment Number]], 'pivot '!A:A,'pivot '!G:G, "NF")</f>
        <v>2.392452757972535</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25">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25">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25">
      <c r="A128" s="28">
        <v>45975</v>
      </c>
      <c r="B128" s="29" t="s">
        <v>21</v>
      </c>
      <c r="C128" s="29">
        <v>1079</v>
      </c>
      <c r="D128" s="29" t="s">
        <v>85</v>
      </c>
      <c r="E128" s="11">
        <v>1896</v>
      </c>
      <c r="F128" s="11">
        <v>100762</v>
      </c>
      <c r="G128" s="11">
        <v>1912</v>
      </c>
      <c r="H128" s="32">
        <f>_xlfn.XLOOKUP(Table1[[#This Row],[Shipment Number]], 'pivot '!A:A,'pivot '!G:G, "NF")</f>
        <v>2.392452757972535</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25">
      <c r="A129" s="28">
        <v>45976</v>
      </c>
      <c r="B129" s="29" t="s">
        <v>170</v>
      </c>
      <c r="C129" s="29">
        <v>1080</v>
      </c>
      <c r="D129" s="29" t="s">
        <v>85</v>
      </c>
      <c r="E129" s="11" t="s">
        <v>401</v>
      </c>
      <c r="F129" s="11">
        <v>69241</v>
      </c>
      <c r="G129" s="11">
        <v>44936</v>
      </c>
      <c r="H129" s="32">
        <f>_xlfn.XLOOKUP(Table1[[#This Row],[Shipment Number]], 'pivot '!A:A,'pivot '!G:G, "NF")</f>
        <v>23.381537087995198</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25">
      <c r="A130" s="28">
        <v>45976</v>
      </c>
      <c r="B130" s="29" t="s">
        <v>21</v>
      </c>
      <c r="C130" s="29">
        <v>1081</v>
      </c>
      <c r="D130" s="29" t="s">
        <v>85</v>
      </c>
      <c r="E130" s="11">
        <v>1896</v>
      </c>
      <c r="F130" s="11">
        <v>100762</v>
      </c>
      <c r="G130" s="11">
        <v>2777</v>
      </c>
      <c r="H130" s="32">
        <f>_xlfn.XLOOKUP(Table1[[#This Row],[Shipment Number]], 'pivot '!A:A,'pivot '!G:G, "NF")</f>
        <v>2.392452757972535</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25">
      <c r="A131" s="28">
        <v>45976</v>
      </c>
      <c r="B131" s="29" t="s">
        <v>27</v>
      </c>
      <c r="C131" s="29">
        <v>1082</v>
      </c>
      <c r="D131" s="29" t="s">
        <v>85</v>
      </c>
      <c r="E131" s="11">
        <v>1844</v>
      </c>
      <c r="F131" s="11">
        <v>27696</v>
      </c>
      <c r="G131" s="11">
        <v>29468</v>
      </c>
      <c r="H131" s="32">
        <f>_xlfn.XLOOKUP(Table1[[#This Row],[Shipment Number]], 'pivot '!A:A,'pivot '!G:G, "NF")</f>
        <v>2.7084529833151407</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25">
      <c r="A132" s="28">
        <v>45976</v>
      </c>
      <c r="B132" s="29" t="s">
        <v>9</v>
      </c>
      <c r="C132" s="29">
        <v>1083</v>
      </c>
      <c r="D132" s="29" t="s">
        <v>85</v>
      </c>
      <c r="E132" s="11">
        <v>1862</v>
      </c>
      <c r="F132" s="11">
        <v>22145</v>
      </c>
      <c r="G132" s="11">
        <v>10579</v>
      </c>
      <c r="H132" s="32">
        <f>_xlfn.XLOOKUP(Table1[[#This Row],[Shipment Number]], 'pivot '!A:A,'pivot '!G:G, "NF")</f>
        <v>2.5426451285444358</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25">
      <c r="A133" s="28">
        <v>45978</v>
      </c>
      <c r="B133" s="29" t="s">
        <v>9</v>
      </c>
      <c r="C133" s="29">
        <v>1084</v>
      </c>
      <c r="D133" s="29" t="s">
        <v>85</v>
      </c>
      <c r="E133" s="11">
        <v>1862</v>
      </c>
      <c r="F133" s="11">
        <v>22145</v>
      </c>
      <c r="G133" s="11">
        <v>13023</v>
      </c>
      <c r="H133" s="32">
        <f>_xlfn.XLOOKUP(Table1[[#This Row],[Shipment Number]], 'pivot '!A:A,'pivot '!G:G, "NF")</f>
        <v>2.5426451285444358</v>
      </c>
      <c r="I133" s="119">
        <f>Table1[[#This Row],[Tiyaar/gaz]]/1.0936</f>
        <v>11908.376005852233</v>
      </c>
      <c r="J133" s="11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119083.76005852233</v>
      </c>
      <c r="K133" s="29"/>
    </row>
    <row r="134" spans="1:17" x14ac:dyDescent="0.25">
      <c r="A134" s="28">
        <v>45978</v>
      </c>
      <c r="B134" s="29" t="s">
        <v>21</v>
      </c>
      <c r="C134" s="29">
        <v>1085</v>
      </c>
      <c r="D134" s="29" t="s">
        <v>85</v>
      </c>
      <c r="E134" s="11">
        <v>1896</v>
      </c>
      <c r="F134" s="11">
        <v>100762</v>
      </c>
      <c r="G134" s="11">
        <v>12227</v>
      </c>
      <c r="H134" s="32">
        <f>_xlfn.XLOOKUP(Table1[[#This Row],[Shipment Number]], 'pivot '!A:A,'pivot '!G:G, "NF")</f>
        <v>2.392452757972535</v>
      </c>
      <c r="I134" s="119">
        <f>Table1[[#This Row],[Tiyaar/gaz]]/1.0936</f>
        <v>11180.504754937821</v>
      </c>
      <c r="J134" s="11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111805.04754937821</v>
      </c>
      <c r="K134" s="29"/>
    </row>
    <row r="135" spans="1:17" x14ac:dyDescent="0.25">
      <c r="A135" s="28">
        <v>45978</v>
      </c>
      <c r="B135" s="29" t="s">
        <v>183</v>
      </c>
      <c r="C135" s="29">
        <v>1086</v>
      </c>
      <c r="D135" s="29" t="s">
        <v>85</v>
      </c>
      <c r="E135" s="11">
        <v>1891</v>
      </c>
      <c r="F135" s="11">
        <v>9400</v>
      </c>
      <c r="G135" s="11">
        <v>10097</v>
      </c>
      <c r="H135" s="32">
        <f>_xlfn.XLOOKUP(Table1[[#This Row],[Shipment Number]], 'pivot '!A:A,'pivot '!G:G, "NF")</f>
        <v>1.7786269046988821</v>
      </c>
      <c r="I135" s="119">
        <f>Table1[[#This Row],[Tiyaar/gaz]]/1.0936</f>
        <v>9232.809070958303</v>
      </c>
      <c r="J135" s="11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92328.090709583033</v>
      </c>
      <c r="K135" s="29"/>
    </row>
    <row r="136" spans="1:17" x14ac:dyDescent="0.25">
      <c r="A136" s="28">
        <v>45978</v>
      </c>
      <c r="B136" s="29" t="s">
        <v>22</v>
      </c>
      <c r="C136" s="29">
        <v>1087</v>
      </c>
      <c r="D136" s="29" t="s">
        <v>87</v>
      </c>
      <c r="E136" s="11" t="s">
        <v>472</v>
      </c>
      <c r="F136" s="11">
        <v>24061</v>
      </c>
      <c r="G136" s="11">
        <v>25274</v>
      </c>
      <c r="H136" s="32">
        <f>_xlfn.XLOOKUP(Table1[[#This Row],[Shipment Number]], 'pivot '!A:A,'pivot '!G:G, "NF")</f>
        <v>3.9490186291018858</v>
      </c>
      <c r="I136" s="119">
        <f>Table1[[#This Row],[Tiyaar/gaz]]/1.0936</f>
        <v>23110.826627651793</v>
      </c>
      <c r="J136" s="11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300440.74615947332</v>
      </c>
      <c r="K136" s="29"/>
    </row>
    <row r="137" spans="1:17" x14ac:dyDescent="0.25">
      <c r="A137" s="28">
        <v>45978</v>
      </c>
      <c r="B137" s="29" t="s">
        <v>198</v>
      </c>
      <c r="C137" s="29">
        <v>1088</v>
      </c>
      <c r="D137" s="29" t="s">
        <v>87</v>
      </c>
      <c r="E137" s="11">
        <v>1901</v>
      </c>
      <c r="F137" s="11">
        <v>22025</v>
      </c>
      <c r="G137" s="11">
        <v>23535</v>
      </c>
      <c r="H137" s="32">
        <f>_xlfn.XLOOKUP(Table1[[#This Row],[Shipment Number]], 'pivot '!A:A,'pivot '!G:G, "NF")</f>
        <v>2.289826600250592</v>
      </c>
      <c r="I137" s="119">
        <f>Table1[[#This Row],[Tiyaar/gaz]]/1.0936</f>
        <v>21520.665691294809</v>
      </c>
      <c r="J137" s="11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279768.65398683253</v>
      </c>
      <c r="K137" s="29"/>
    </row>
    <row r="138" spans="1:17" x14ac:dyDescent="0.25">
      <c r="A138" s="28">
        <v>45978</v>
      </c>
      <c r="B138" s="29" t="s">
        <v>198</v>
      </c>
      <c r="C138" s="29">
        <v>1089</v>
      </c>
      <c r="D138" s="29" t="s">
        <v>87</v>
      </c>
      <c r="E138" s="11">
        <v>1873</v>
      </c>
      <c r="F138" s="11">
        <v>42762</v>
      </c>
      <c r="G138" s="11">
        <v>44484</v>
      </c>
      <c r="H138" s="32">
        <f>_xlfn.XLOOKUP(Table1[[#This Row],[Shipment Number]], 'pivot '!A:A,'pivot '!G:G, "NF")</f>
        <v>4.8766095406271575</v>
      </c>
      <c r="I138" s="119">
        <f>Table1[[#This Row],[Tiyaar/gaz]]/1.0936</f>
        <v>40676.664228237016</v>
      </c>
      <c r="J138" s="11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528796.63496708125</v>
      </c>
      <c r="K138" s="29"/>
    </row>
    <row r="139" spans="1:17" x14ac:dyDescent="0.25">
      <c r="A139" s="28">
        <v>45978</v>
      </c>
      <c r="B139" s="29" t="s">
        <v>249</v>
      </c>
      <c r="C139" s="29">
        <v>1090</v>
      </c>
      <c r="D139" s="29" t="s">
        <v>87</v>
      </c>
      <c r="E139" s="11">
        <v>1864</v>
      </c>
      <c r="F139" s="11">
        <v>27099</v>
      </c>
      <c r="G139" s="11">
        <v>28800</v>
      </c>
      <c r="H139" s="32">
        <f>_xlfn.XLOOKUP(Table1[[#This Row],[Shipment Number]], 'pivot '!A:A,'pivot '!G:G, "NF")</f>
        <v>2.8191437540527318</v>
      </c>
      <c r="I139" s="119">
        <f>Table1[[#This Row],[Tiyaar/gaz]]/1.0936</f>
        <v>26335.040234089251</v>
      </c>
      <c r="J139" s="11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342355.52304316027</v>
      </c>
      <c r="K139" s="29"/>
    </row>
    <row r="140" spans="1:17" x14ac:dyDescent="0.25">
      <c r="A140" s="28">
        <v>45979</v>
      </c>
      <c r="B140" s="29" t="s">
        <v>249</v>
      </c>
      <c r="C140" s="29">
        <v>1091</v>
      </c>
      <c r="D140" s="29" t="s">
        <v>87</v>
      </c>
      <c r="E140" s="11">
        <v>1834</v>
      </c>
      <c r="F140" s="11">
        <v>18060</v>
      </c>
      <c r="G140" s="11">
        <v>17475</v>
      </c>
      <c r="H140" s="32">
        <f>_xlfn.XLOOKUP(Table1[[#This Row],[Shipment Number]], 'pivot '!A:A,'pivot '!G:G, "NF")</f>
        <v>3.1058383782903434</v>
      </c>
      <c r="I140" s="119">
        <f>Table1[[#This Row],[Tiyaar/gaz]]/1.0936</f>
        <v>15979.334308705194</v>
      </c>
      <c r="J140" s="11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207731.34601316752</v>
      </c>
      <c r="K140" s="29"/>
    </row>
    <row r="141" spans="1:17" x14ac:dyDescent="0.25">
      <c r="A141" s="28">
        <v>45979</v>
      </c>
      <c r="B141" s="29" t="s">
        <v>473</v>
      </c>
      <c r="C141" s="29"/>
      <c r="D141" s="29"/>
      <c r="E141" s="11"/>
      <c r="F141" s="11"/>
      <c r="G141" s="11"/>
      <c r="H141" s="32" t="e">
        <f>_xlfn.XLOOKUP(Table1[[#This Row],[Shipment Number]], 'pivot '!A:A,'pivot '!G:G, "NF")</f>
        <v>#DIV/0!</v>
      </c>
      <c r="I141" s="32"/>
      <c r="J141" s="32"/>
      <c r="K141" s="29"/>
    </row>
    <row r="142" spans="1:17" x14ac:dyDescent="0.25">
      <c r="A142"/>
      <c r="B142"/>
      <c r="C142"/>
      <c r="D142"/>
      <c r="E142" s="14"/>
      <c r="F142" s="14"/>
      <c r="G142" s="14"/>
      <c r="H142" s="48"/>
      <c r="I142" s="101" cm="1">
        <f t="array" aca="1" ref="I142" ca="1">SUMPRODUCT( SUBTOTAL(109, OFFSET(Table1[tiyar/meters], ROW(Table1[tiyar/meters])-MIN(ROW(Table1[tiyar/meters])), 0, 1)), --(Table1[Bill Number]&lt;&gt;"September Closing CF") )</f>
        <v>1570657.4615947329</v>
      </c>
      <c r="J142" s="48" cm="1">
        <f t="array" aca="1" ref="J142" ca="1">SUMPRODUCT( SUBTOTAL(109, OFFSET(Table1[billing], ROW(Table1[billing])-MIN(ROW(Table1[billing])), 0, 1)), --(Table1[Bill Number]&lt;&gt;"September Closing CF") )</f>
        <v>17072918.800292615</v>
      </c>
      <c r="K142" s="14">
        <f>SUMIFS(Table1[billing], Table1[Bill Number], "&lt;&gt;September Closing CF")</f>
        <v>17072918.800292615</v>
      </c>
    </row>
    <row r="148" spans="4:11" x14ac:dyDescent="0.25">
      <c r="D148" s="3" t="s">
        <v>2</v>
      </c>
      <c r="E148" t="s">
        <v>88</v>
      </c>
    </row>
    <row r="149" spans="4:11" x14ac:dyDescent="0.25">
      <c r="D149" s="3" t="s">
        <v>75</v>
      </c>
      <c r="E149" t="s">
        <v>88</v>
      </c>
    </row>
    <row r="150" spans="4:11" x14ac:dyDescent="0.25">
      <c r="D150" s="3" t="s">
        <v>79</v>
      </c>
      <c r="E150" t="s">
        <v>88</v>
      </c>
    </row>
    <row r="152" spans="4:11" x14ac:dyDescent="0.25">
      <c r="D152" s="3" t="s">
        <v>6</v>
      </c>
      <c r="E152" t="s">
        <v>89</v>
      </c>
      <c r="F152" t="s">
        <v>90</v>
      </c>
      <c r="G152" t="s">
        <v>91</v>
      </c>
      <c r="I152" s="3" t="s">
        <v>6</v>
      </c>
      <c r="J152" t="s">
        <v>90</v>
      </c>
      <c r="K152" t="s">
        <v>91</v>
      </c>
    </row>
    <row r="153" spans="4:11" x14ac:dyDescent="0.25">
      <c r="D153" s="16" t="s">
        <v>184</v>
      </c>
      <c r="E153"/>
      <c r="F153" s="33">
        <v>4247868.5076810541</v>
      </c>
      <c r="G153">
        <v>43223034.582516462</v>
      </c>
      <c r="I153" s="27">
        <v>45947</v>
      </c>
      <c r="J153" s="48">
        <v>4247868.5076810541</v>
      </c>
      <c r="K153" s="14">
        <v>43223034.582516462</v>
      </c>
    </row>
    <row r="154" spans="4:11" x14ac:dyDescent="0.25">
      <c r="D154" s="16">
        <v>985</v>
      </c>
      <c r="E154">
        <v>3532</v>
      </c>
      <c r="F154" s="33">
        <v>3229.7000731528897</v>
      </c>
      <c r="G154">
        <v>38756.400877834676</v>
      </c>
      <c r="I154" s="27">
        <v>45948</v>
      </c>
      <c r="J154" s="48">
        <v>52326.261887344546</v>
      </c>
      <c r="K154" s="14">
        <v>659882.95537673729</v>
      </c>
    </row>
    <row r="155" spans="4:11" x14ac:dyDescent="0.25">
      <c r="D155" s="16">
        <v>986</v>
      </c>
      <c r="E155">
        <v>4356</v>
      </c>
      <c r="F155" s="33">
        <v>3983.1748354059987</v>
      </c>
      <c r="G155">
        <v>47798.098024871986</v>
      </c>
      <c r="I155" s="27">
        <v>45950</v>
      </c>
      <c r="J155" s="48">
        <v>47101.316752011713</v>
      </c>
      <c r="K155" s="14">
        <v>572781.63862472575</v>
      </c>
    </row>
    <row r="156" spans="4:11" x14ac:dyDescent="0.25">
      <c r="D156" s="16">
        <v>987</v>
      </c>
      <c r="E156">
        <v>7867</v>
      </c>
      <c r="F156" s="33">
        <v>7193.6722750548652</v>
      </c>
      <c r="G156">
        <v>86324.067300658382</v>
      </c>
      <c r="I156" s="27">
        <v>45951</v>
      </c>
      <c r="J156" s="48">
        <v>77286.027798098046</v>
      </c>
      <c r="K156" s="14">
        <v>857900.51207022695</v>
      </c>
    </row>
    <row r="157" spans="4:11" x14ac:dyDescent="0.25">
      <c r="D157" s="16">
        <v>988</v>
      </c>
      <c r="E157">
        <v>3112</v>
      </c>
      <c r="F157" s="33">
        <v>2845.6474030724216</v>
      </c>
      <c r="G157">
        <v>34147.768836869058</v>
      </c>
      <c r="I157" s="27">
        <v>45952</v>
      </c>
      <c r="J157" s="48">
        <v>77123.262618873443</v>
      </c>
      <c r="K157" s="14">
        <v>775791.88002926123</v>
      </c>
    </row>
    <row r="158" spans="4:11" x14ac:dyDescent="0.25">
      <c r="D158" s="16">
        <v>989</v>
      </c>
      <c r="E158">
        <v>34960</v>
      </c>
      <c r="F158" s="33">
        <v>31967.812728602781</v>
      </c>
      <c r="G158">
        <v>415581.56547183613</v>
      </c>
      <c r="I158" s="27">
        <v>45953</v>
      </c>
      <c r="J158" s="48">
        <v>41251.82882223848</v>
      </c>
      <c r="K158" s="14">
        <v>412518.28822238487</v>
      </c>
    </row>
    <row r="159" spans="4:11" x14ac:dyDescent="0.25">
      <c r="D159" s="16">
        <v>990</v>
      </c>
      <c r="E159">
        <v>3397</v>
      </c>
      <c r="F159" s="33">
        <v>3106.2545720555963</v>
      </c>
      <c r="G159">
        <v>37275.054864667152</v>
      </c>
      <c r="I159" s="27">
        <v>45954</v>
      </c>
      <c r="J159" s="48">
        <v>44754.937820043895</v>
      </c>
      <c r="K159" s="14">
        <v>447549.37820043892</v>
      </c>
    </row>
    <row r="160" spans="4:11" x14ac:dyDescent="0.25">
      <c r="D160" s="16">
        <v>991</v>
      </c>
      <c r="E160">
        <v>20118</v>
      </c>
      <c r="F160" s="33">
        <v>18396.122896854427</v>
      </c>
      <c r="G160">
        <v>220753.47476225311</v>
      </c>
      <c r="I160" s="27">
        <v>45955</v>
      </c>
      <c r="J160" s="48">
        <v>46776.700804681794</v>
      </c>
      <c r="K160" s="14">
        <v>467767.00804681785</v>
      </c>
    </row>
    <row r="161" spans="4:11" x14ac:dyDescent="0.25">
      <c r="D161" s="16">
        <v>992</v>
      </c>
      <c r="E161">
        <v>21555</v>
      </c>
      <c r="F161" s="33">
        <v>19710.131675201173</v>
      </c>
      <c r="G161">
        <v>236521.58010241407</v>
      </c>
      <c r="I161" s="27">
        <v>45956</v>
      </c>
      <c r="J161" s="48">
        <v>41702.633504023404</v>
      </c>
      <c r="K161" s="14">
        <v>419322.42136064376</v>
      </c>
    </row>
    <row r="162" spans="4:11" x14ac:dyDescent="0.25">
      <c r="D162" s="16">
        <v>993</v>
      </c>
      <c r="E162">
        <v>1563</v>
      </c>
      <c r="F162" s="33">
        <v>1429.2245793708853</v>
      </c>
      <c r="G162">
        <v>17150.694952450624</v>
      </c>
      <c r="I162" s="27">
        <v>45957</v>
      </c>
      <c r="J162" s="48">
        <v>40687.637161667888</v>
      </c>
      <c r="K162" s="14">
        <v>435897.95171909296</v>
      </c>
    </row>
    <row r="163" spans="4:11" x14ac:dyDescent="0.25">
      <c r="D163" s="16">
        <v>994</v>
      </c>
      <c r="E163">
        <v>8274</v>
      </c>
      <c r="F163" s="33">
        <v>7565.8376005852242</v>
      </c>
      <c r="G163">
        <v>98355.888807607917</v>
      </c>
      <c r="I163" s="27">
        <v>45958</v>
      </c>
      <c r="J163" s="48">
        <v>92018.105340160953</v>
      </c>
      <c r="K163" s="14">
        <v>981031.45574250189</v>
      </c>
    </row>
    <row r="164" spans="4:11" x14ac:dyDescent="0.25">
      <c r="D164" s="16">
        <v>995</v>
      </c>
      <c r="E164">
        <v>19667</v>
      </c>
      <c r="F164" s="33">
        <v>17983.723482077545</v>
      </c>
      <c r="G164">
        <v>215804.68178493052</v>
      </c>
      <c r="I164" s="27">
        <v>45959</v>
      </c>
      <c r="J164" s="48">
        <v>40899.780541331384</v>
      </c>
      <c r="K164" s="14">
        <v>408997.80541331385</v>
      </c>
    </row>
    <row r="165" spans="4:11" x14ac:dyDescent="0.25">
      <c r="D165" s="16">
        <v>996</v>
      </c>
      <c r="E165">
        <v>17569</v>
      </c>
      <c r="F165" s="33">
        <v>16065.288953913681</v>
      </c>
      <c r="G165">
        <v>192783.46744696418</v>
      </c>
      <c r="I165" s="27">
        <v>45960</v>
      </c>
      <c r="J165" s="48">
        <v>39604.974396488666</v>
      </c>
      <c r="K165" s="14">
        <v>396049.7439648867</v>
      </c>
    </row>
    <row r="166" spans="4:11" x14ac:dyDescent="0.25">
      <c r="D166" s="16">
        <v>997</v>
      </c>
      <c r="E166">
        <v>9264</v>
      </c>
      <c r="F166" s="33">
        <v>8471.1046086320421</v>
      </c>
      <c r="G166">
        <v>101653.2553035845</v>
      </c>
      <c r="I166" s="27">
        <v>45961</v>
      </c>
      <c r="J166" s="48">
        <v>174929.59034381859</v>
      </c>
      <c r="K166" s="14">
        <v>1749295.9034381863</v>
      </c>
    </row>
    <row r="167" spans="4:11" x14ac:dyDescent="0.25">
      <c r="D167" s="16">
        <v>998</v>
      </c>
      <c r="E167">
        <v>38020</v>
      </c>
      <c r="F167" s="33">
        <v>34765.910753474767</v>
      </c>
      <c r="G167">
        <v>347659.10753474769</v>
      </c>
      <c r="I167" s="27">
        <v>45964</v>
      </c>
      <c r="J167" s="48">
        <v>62574.067300658375</v>
      </c>
      <c r="K167" s="14">
        <v>635204.82809070963</v>
      </c>
    </row>
    <row r="168" spans="4:11" x14ac:dyDescent="0.25">
      <c r="D168" s="16">
        <v>999</v>
      </c>
      <c r="E168">
        <v>37349</v>
      </c>
      <c r="F168" s="33">
        <v>34152.340892465254</v>
      </c>
      <c r="G168">
        <v>341523.40892465255</v>
      </c>
      <c r="I168" s="27">
        <v>45965</v>
      </c>
      <c r="J168" s="48">
        <v>44091.075347476231</v>
      </c>
      <c r="K168" s="14">
        <v>573183.97951719095</v>
      </c>
    </row>
    <row r="169" spans="4:11" x14ac:dyDescent="0.25">
      <c r="D169" s="16">
        <v>1000</v>
      </c>
      <c r="E169">
        <v>1662</v>
      </c>
      <c r="F169" s="33">
        <v>1519.751280175567</v>
      </c>
      <c r="G169">
        <v>19756.766642282371</v>
      </c>
      <c r="I169" s="27">
        <v>45966</v>
      </c>
      <c r="J169" s="48">
        <v>85873.262618873443</v>
      </c>
      <c r="K169" s="14">
        <v>1116352.4140453548</v>
      </c>
    </row>
    <row r="170" spans="4:11" x14ac:dyDescent="0.25">
      <c r="D170" s="16">
        <v>1001</v>
      </c>
      <c r="E170">
        <v>45331</v>
      </c>
      <c r="F170" s="33">
        <v>41451.170446232631</v>
      </c>
      <c r="G170">
        <v>414511.70446232631</v>
      </c>
      <c r="I170" s="27">
        <v>45967</v>
      </c>
      <c r="J170" s="48">
        <v>54654.35259692758</v>
      </c>
      <c r="K170" s="14">
        <v>710506.58376005862</v>
      </c>
    </row>
    <row r="171" spans="4:11" x14ac:dyDescent="0.25">
      <c r="D171" s="16">
        <v>1002</v>
      </c>
      <c r="E171">
        <v>10153</v>
      </c>
      <c r="F171" s="33">
        <v>9284.0160936356988</v>
      </c>
      <c r="G171">
        <v>92840.160936356988</v>
      </c>
      <c r="I171" s="27">
        <v>45968</v>
      </c>
      <c r="J171" s="48">
        <v>65550.475493782011</v>
      </c>
      <c r="K171" s="14">
        <v>655504.75493782014</v>
      </c>
    </row>
    <row r="172" spans="4:11" x14ac:dyDescent="0.25">
      <c r="D172" s="16">
        <v>1003</v>
      </c>
      <c r="E172">
        <v>31733</v>
      </c>
      <c r="F172" s="33">
        <v>29017.008046817853</v>
      </c>
      <c r="G172">
        <v>290170.08046817855</v>
      </c>
      <c r="I172" s="27">
        <v>45969</v>
      </c>
      <c r="J172" s="48">
        <v>112443.30651060719</v>
      </c>
      <c r="K172" s="14">
        <v>1124433.0651060718</v>
      </c>
    </row>
    <row r="173" spans="4:11" x14ac:dyDescent="0.25">
      <c r="D173" s="16">
        <v>1004</v>
      </c>
      <c r="E173">
        <v>3227</v>
      </c>
      <c r="F173" s="33">
        <v>2950.8046817849308</v>
      </c>
      <c r="G173">
        <v>29508.04681784931</v>
      </c>
      <c r="I173" s="27">
        <v>45975</v>
      </c>
      <c r="J173" s="48">
        <v>88814.923189466004</v>
      </c>
      <c r="K173" s="14">
        <v>888149.23189465993</v>
      </c>
    </row>
    <row r="174" spans="4:11" x14ac:dyDescent="0.25">
      <c r="D174" s="16">
        <v>1005</v>
      </c>
      <c r="E174">
        <v>7126</v>
      </c>
      <c r="F174" s="33">
        <v>6516.0936356986103</v>
      </c>
      <c r="G174">
        <v>65160.936356986102</v>
      </c>
      <c r="I174" s="27">
        <v>45976</v>
      </c>
      <c r="J174" s="48">
        <v>80248.719824433079</v>
      </c>
      <c r="K174" s="14">
        <v>802487.19824433071</v>
      </c>
    </row>
    <row r="175" spans="4:11" x14ac:dyDescent="0.25">
      <c r="D175" s="16">
        <v>1006</v>
      </c>
      <c r="E175">
        <v>2200</v>
      </c>
      <c r="F175" s="33">
        <v>2011.704462326262</v>
      </c>
      <c r="G175">
        <v>20117.04462326262</v>
      </c>
      <c r="I175" s="27">
        <v>45978</v>
      </c>
      <c r="J175" s="48"/>
      <c r="K175" s="14"/>
    </row>
    <row r="176" spans="4:11" x14ac:dyDescent="0.25">
      <c r="D176" s="16">
        <v>1007</v>
      </c>
      <c r="E176">
        <v>2372</v>
      </c>
      <c r="F176" s="33">
        <v>2168.9831748354063</v>
      </c>
      <c r="G176">
        <v>21689.831748354063</v>
      </c>
      <c r="I176" s="27">
        <v>45979</v>
      </c>
      <c r="J176" s="48"/>
      <c r="K176" s="14"/>
    </row>
    <row r="177" spans="4:11" x14ac:dyDescent="0.25">
      <c r="D177" s="16">
        <v>1008</v>
      </c>
      <c r="E177">
        <v>10156</v>
      </c>
      <c r="F177" s="33">
        <v>9286.7593269934168</v>
      </c>
      <c r="G177">
        <v>92867.593269934165</v>
      </c>
      <c r="I177" s="27" t="s">
        <v>28</v>
      </c>
      <c r="J177" s="48">
        <v>5658581.7483540624</v>
      </c>
      <c r="K177" s="14">
        <v>58313643.580321886</v>
      </c>
    </row>
    <row r="178" spans="4:11" x14ac:dyDescent="0.25">
      <c r="D178" s="16">
        <v>1009</v>
      </c>
      <c r="E178">
        <v>27090</v>
      </c>
      <c r="F178" s="33">
        <v>24771.3972201902</v>
      </c>
      <c r="G178">
        <v>247713.97220190201</v>
      </c>
      <c r="I178"/>
      <c r="J178"/>
      <c r="K178"/>
    </row>
    <row r="179" spans="4:11" x14ac:dyDescent="0.25">
      <c r="D179" s="16">
        <v>1010</v>
      </c>
      <c r="E179">
        <v>10885</v>
      </c>
      <c r="F179" s="33">
        <v>9953.3650329188004</v>
      </c>
      <c r="G179">
        <v>99533.650329188007</v>
      </c>
    </row>
    <row r="180" spans="4:11" x14ac:dyDescent="0.25">
      <c r="D180" s="16">
        <v>1011</v>
      </c>
      <c r="E180">
        <v>15623</v>
      </c>
      <c r="F180" s="33">
        <v>14285.844915874179</v>
      </c>
      <c r="G180">
        <v>142858.4491587418</v>
      </c>
    </row>
    <row r="181" spans="4:11" x14ac:dyDescent="0.25">
      <c r="D181" s="16">
        <v>1012</v>
      </c>
      <c r="E181">
        <v>15938</v>
      </c>
      <c r="F181" s="33">
        <v>14573.884418434529</v>
      </c>
      <c r="G181">
        <v>145738.84418434527</v>
      </c>
    </row>
    <row r="182" spans="4:11" x14ac:dyDescent="0.25">
      <c r="D182" s="16">
        <v>1013</v>
      </c>
      <c r="E182">
        <v>3756</v>
      </c>
      <c r="F182" s="33">
        <v>3434.5281638624729</v>
      </c>
      <c r="G182">
        <v>34345.281638624729</v>
      </c>
    </row>
    <row r="183" spans="4:11" x14ac:dyDescent="0.25">
      <c r="D183" s="16">
        <v>1014</v>
      </c>
      <c r="E183">
        <v>4953</v>
      </c>
      <c r="F183" s="33">
        <v>4529.0782735918074</v>
      </c>
      <c r="G183">
        <v>45290.782735918074</v>
      </c>
    </row>
    <row r="184" spans="4:11" x14ac:dyDescent="0.25">
      <c r="D184" s="16">
        <v>1015</v>
      </c>
      <c r="E184">
        <v>39419</v>
      </c>
      <c r="F184" s="33">
        <v>36045.171909290417</v>
      </c>
      <c r="G184">
        <v>360451.71909290418</v>
      </c>
    </row>
    <row r="185" spans="4:11" x14ac:dyDescent="0.25">
      <c r="D185" s="16">
        <v>1016</v>
      </c>
      <c r="E185">
        <v>837</v>
      </c>
      <c r="F185" s="33">
        <v>765.36210680321881</v>
      </c>
      <c r="G185">
        <v>9949.7073884418442</v>
      </c>
    </row>
    <row r="186" spans="4:11" x14ac:dyDescent="0.25">
      <c r="D186" s="16">
        <v>1017</v>
      </c>
      <c r="E186">
        <v>5350</v>
      </c>
      <c r="F186" s="33">
        <v>4892.0994879297732</v>
      </c>
      <c r="G186">
        <v>48920.99487929773</v>
      </c>
    </row>
    <row r="187" spans="4:11" x14ac:dyDescent="0.25">
      <c r="D187" s="16">
        <v>1018</v>
      </c>
      <c r="E187">
        <v>3248</v>
      </c>
      <c r="F187" s="33">
        <v>2970.007315288954</v>
      </c>
      <c r="G187">
        <v>44550.109729334312</v>
      </c>
    </row>
    <row r="188" spans="4:11" x14ac:dyDescent="0.25">
      <c r="D188" s="16">
        <v>1019</v>
      </c>
      <c r="E188">
        <v>5166</v>
      </c>
      <c r="F188" s="33">
        <v>4723.8478419897592</v>
      </c>
      <c r="G188">
        <v>61410.021945866873</v>
      </c>
    </row>
    <row r="189" spans="4:11" x14ac:dyDescent="0.25">
      <c r="D189" s="16">
        <v>1020</v>
      </c>
      <c r="E189">
        <v>36082</v>
      </c>
      <c r="F189" s="33">
        <v>32993.782004389177</v>
      </c>
      <c r="G189">
        <v>329937.82004389178</v>
      </c>
    </row>
    <row r="190" spans="4:11" x14ac:dyDescent="0.25">
      <c r="D190" s="16">
        <v>1021</v>
      </c>
      <c r="E190">
        <v>4382</v>
      </c>
      <c r="F190" s="33">
        <v>4006.9495245062185</v>
      </c>
      <c r="G190">
        <v>40069.495245062186</v>
      </c>
    </row>
    <row r="191" spans="4:11" x14ac:dyDescent="0.25">
      <c r="D191" s="16">
        <v>1022</v>
      </c>
      <c r="E191">
        <v>45820</v>
      </c>
      <c r="F191" s="33">
        <v>41898.317483540603</v>
      </c>
      <c r="G191">
        <v>418983.17483540601</v>
      </c>
    </row>
    <row r="192" spans="4:11" x14ac:dyDescent="0.25">
      <c r="D192" s="16">
        <v>1023</v>
      </c>
      <c r="E192">
        <v>3697</v>
      </c>
      <c r="F192" s="33">
        <v>3380.5779078273595</v>
      </c>
      <c r="G192">
        <v>94656.181419166067</v>
      </c>
    </row>
    <row r="193" spans="4:7" x14ac:dyDescent="0.25">
      <c r="D193" s="16">
        <v>1024</v>
      </c>
      <c r="E193">
        <v>46732</v>
      </c>
      <c r="F193" s="33">
        <v>42732.26042428676</v>
      </c>
      <c r="G193">
        <v>427322.60424286762</v>
      </c>
    </row>
    <row r="194" spans="4:7" x14ac:dyDescent="0.25">
      <c r="D194" s="16">
        <v>1025</v>
      </c>
      <c r="E194">
        <v>3950</v>
      </c>
      <c r="F194" s="33">
        <v>3611.9239209948796</v>
      </c>
      <c r="G194">
        <v>36119.239209948799</v>
      </c>
    </row>
    <row r="195" spans="4:7" x14ac:dyDescent="0.25">
      <c r="D195" s="16">
        <v>1026</v>
      </c>
      <c r="E195">
        <v>23587</v>
      </c>
      <c r="F195" s="33">
        <v>21568.215069495247</v>
      </c>
      <c r="G195">
        <v>215682.15069495246</v>
      </c>
    </row>
    <row r="196" spans="4:7" x14ac:dyDescent="0.25">
      <c r="D196" s="16">
        <v>1027</v>
      </c>
      <c r="E196">
        <v>17191</v>
      </c>
      <c r="F196" s="33">
        <v>15719.641550841259</v>
      </c>
      <c r="G196">
        <v>157196.41550841258</v>
      </c>
    </row>
    <row r="197" spans="4:7" x14ac:dyDescent="0.25">
      <c r="D197" s="16">
        <v>1028</v>
      </c>
      <c r="E197">
        <v>36674</v>
      </c>
      <c r="F197" s="33">
        <v>33535.113386978788</v>
      </c>
      <c r="G197">
        <v>335351.13386978791</v>
      </c>
    </row>
    <row r="198" spans="4:7" x14ac:dyDescent="0.25">
      <c r="D198" s="16">
        <v>1029</v>
      </c>
      <c r="E198">
        <v>1098</v>
      </c>
      <c r="F198" s="33">
        <v>1004.0234089246526</v>
      </c>
      <c r="G198">
        <v>10040.234089246525</v>
      </c>
    </row>
    <row r="199" spans="4:7" x14ac:dyDescent="0.25">
      <c r="D199" s="16">
        <v>1030</v>
      </c>
      <c r="E199">
        <v>5540</v>
      </c>
      <c r="F199" s="33">
        <v>5065.8376005852233</v>
      </c>
      <c r="G199">
        <v>50658.376005852231</v>
      </c>
    </row>
    <row r="200" spans="4:7" x14ac:dyDescent="0.25">
      <c r="D200" s="16">
        <v>1031</v>
      </c>
      <c r="E200">
        <v>49562</v>
      </c>
      <c r="F200" s="33">
        <v>45320.043891733731</v>
      </c>
      <c r="G200">
        <v>453200.43891733733</v>
      </c>
    </row>
    <row r="201" spans="4:7" x14ac:dyDescent="0.25">
      <c r="D201" s="16">
        <v>1032</v>
      </c>
      <c r="E201">
        <v>23852</v>
      </c>
      <c r="F201" s="33">
        <v>21810.534016093639</v>
      </c>
      <c r="G201">
        <v>218105.34016093641</v>
      </c>
    </row>
    <row r="202" spans="4:7" x14ac:dyDescent="0.25">
      <c r="D202" s="16">
        <v>1033</v>
      </c>
      <c r="E202">
        <v>9819</v>
      </c>
      <c r="F202" s="33">
        <v>8978.6027798098039</v>
      </c>
      <c r="G202">
        <v>89786.027798098046</v>
      </c>
    </row>
    <row r="203" spans="4:7" x14ac:dyDescent="0.25">
      <c r="D203" s="16">
        <v>1034</v>
      </c>
      <c r="E203">
        <v>19232</v>
      </c>
      <c r="F203" s="33">
        <v>17585.954645208487</v>
      </c>
      <c r="G203">
        <v>175859.54645208488</v>
      </c>
    </row>
    <row r="204" spans="4:7" x14ac:dyDescent="0.25">
      <c r="D204" s="16">
        <v>1035</v>
      </c>
      <c r="E204">
        <v>30559</v>
      </c>
      <c r="F204" s="33">
        <v>27943.489392831019</v>
      </c>
      <c r="G204">
        <v>279434.89392831019</v>
      </c>
    </row>
    <row r="205" spans="4:7" x14ac:dyDescent="0.25">
      <c r="D205" s="16">
        <v>1036</v>
      </c>
      <c r="E205">
        <v>32922</v>
      </c>
      <c r="F205" s="33">
        <v>30104.242867593272</v>
      </c>
      <c r="G205">
        <v>301042.42867593269</v>
      </c>
    </row>
    <row r="206" spans="4:7" x14ac:dyDescent="0.25">
      <c r="D206" s="16">
        <v>1037</v>
      </c>
      <c r="E206">
        <v>25357</v>
      </c>
      <c r="F206" s="33">
        <v>23186.722750548648</v>
      </c>
      <c r="G206">
        <v>231867.22750548649</v>
      </c>
    </row>
    <row r="207" spans="4:7" x14ac:dyDescent="0.25">
      <c r="D207" s="16">
        <v>1038</v>
      </c>
      <c r="E207">
        <v>15793</v>
      </c>
      <c r="F207" s="33">
        <v>14441.294806144844</v>
      </c>
      <c r="G207">
        <v>144412.94806144843</v>
      </c>
    </row>
    <row r="208" spans="4:7" x14ac:dyDescent="0.25">
      <c r="D208" s="16">
        <v>1039</v>
      </c>
      <c r="E208">
        <v>26575</v>
      </c>
      <c r="F208" s="33">
        <v>24300.475493782007</v>
      </c>
      <c r="G208">
        <v>243004.75493782008</v>
      </c>
    </row>
    <row r="209" spans="4:7" x14ac:dyDescent="0.25">
      <c r="D209" s="16">
        <v>1040</v>
      </c>
      <c r="E209">
        <v>6158</v>
      </c>
      <c r="F209" s="33">
        <v>5630.9436722750552</v>
      </c>
      <c r="G209">
        <v>56309.43672275055</v>
      </c>
    </row>
    <row r="210" spans="4:7" x14ac:dyDescent="0.25">
      <c r="D210" s="16">
        <v>1041</v>
      </c>
      <c r="E210">
        <v>14060</v>
      </c>
      <c r="F210" s="33">
        <v>12856.620336503292</v>
      </c>
      <c r="G210">
        <v>128566.20336503292</v>
      </c>
    </row>
    <row r="211" spans="4:7" x14ac:dyDescent="0.25">
      <c r="D211" s="16">
        <v>1042</v>
      </c>
      <c r="E211">
        <v>2395</v>
      </c>
      <c r="F211" s="33">
        <v>2190.0146305779081</v>
      </c>
      <c r="G211">
        <v>21900.146305779082</v>
      </c>
    </row>
    <row r="212" spans="4:7" x14ac:dyDescent="0.25">
      <c r="D212" s="16">
        <v>1043</v>
      </c>
      <c r="E212">
        <v>3450</v>
      </c>
      <c r="F212" s="33">
        <v>3154.7183613752745</v>
      </c>
      <c r="G212">
        <v>41011.338697878571</v>
      </c>
    </row>
    <row r="213" spans="4:7" x14ac:dyDescent="0.25">
      <c r="D213" s="16">
        <v>1044</v>
      </c>
      <c r="E213">
        <v>48218</v>
      </c>
      <c r="F213" s="33">
        <v>44091.075347476231</v>
      </c>
      <c r="G213">
        <v>573183.97951719095</v>
      </c>
    </row>
    <row r="214" spans="4:7" x14ac:dyDescent="0.25">
      <c r="D214" s="16">
        <v>1045</v>
      </c>
      <c r="E214">
        <v>28402</v>
      </c>
      <c r="F214" s="33">
        <v>25971.104608632042</v>
      </c>
      <c r="G214">
        <v>337624.35991221655</v>
      </c>
    </row>
    <row r="215" spans="4:7" x14ac:dyDescent="0.25">
      <c r="D215" s="16">
        <v>1046</v>
      </c>
      <c r="E215">
        <v>8494</v>
      </c>
      <c r="F215" s="33">
        <v>7767.0080468178503</v>
      </c>
      <c r="G215">
        <v>100971.10460863206</v>
      </c>
    </row>
    <row r="216" spans="4:7" x14ac:dyDescent="0.25">
      <c r="D216" s="16">
        <v>1047</v>
      </c>
      <c r="E216">
        <v>15473</v>
      </c>
      <c r="F216" s="33">
        <v>14148.683247988296</v>
      </c>
      <c r="G216">
        <v>183932.88222384785</v>
      </c>
    </row>
    <row r="217" spans="4:7" x14ac:dyDescent="0.25">
      <c r="D217" s="16">
        <v>1048</v>
      </c>
      <c r="E217">
        <v>3372</v>
      </c>
      <c r="F217" s="33">
        <v>3083.394294074616</v>
      </c>
      <c r="G217">
        <v>40084.125822970011</v>
      </c>
    </row>
    <row r="218" spans="4:7" x14ac:dyDescent="0.25">
      <c r="D218" s="16">
        <v>1049</v>
      </c>
      <c r="E218">
        <v>10604</v>
      </c>
      <c r="F218" s="33">
        <v>9696.4155084125832</v>
      </c>
      <c r="G218">
        <v>126053.40160936359</v>
      </c>
    </row>
    <row r="219" spans="4:7" x14ac:dyDescent="0.25">
      <c r="D219" s="16">
        <v>1050</v>
      </c>
      <c r="E219">
        <v>11375</v>
      </c>
      <c r="F219" s="33">
        <v>10401.426481346014</v>
      </c>
      <c r="G219">
        <v>135218.54425749817</v>
      </c>
    </row>
    <row r="220" spans="4:7" x14ac:dyDescent="0.25">
      <c r="D220" s="16">
        <v>1051</v>
      </c>
      <c r="E220">
        <v>11921</v>
      </c>
      <c r="F220" s="33">
        <v>10900.694952450624</v>
      </c>
      <c r="G220">
        <v>141709.0343818581</v>
      </c>
    </row>
    <row r="221" spans="4:7" x14ac:dyDescent="0.25">
      <c r="D221" s="16">
        <v>1052</v>
      </c>
      <c r="E221">
        <v>4270</v>
      </c>
      <c r="F221" s="33">
        <v>3904.5354791514269</v>
      </c>
      <c r="G221">
        <v>50758.961228968546</v>
      </c>
    </row>
    <row r="222" spans="4:7" x14ac:dyDescent="0.25">
      <c r="D222" s="16">
        <v>1053</v>
      </c>
      <c r="E222">
        <v>12181</v>
      </c>
      <c r="F222" s="33">
        <v>11138.441843452818</v>
      </c>
      <c r="G222">
        <v>144799.74396488664</v>
      </c>
    </row>
    <row r="223" spans="4:7" x14ac:dyDescent="0.25">
      <c r="D223" s="16">
        <v>1054</v>
      </c>
      <c r="E223">
        <v>3252</v>
      </c>
      <c r="F223" s="33">
        <v>2973.6649597659111</v>
      </c>
      <c r="G223">
        <v>38657.644476956848</v>
      </c>
    </row>
    <row r="224" spans="4:7" x14ac:dyDescent="0.25">
      <c r="D224" s="16">
        <v>1055</v>
      </c>
      <c r="E224">
        <v>2654</v>
      </c>
      <c r="F224" s="33">
        <v>2426.8471104608634</v>
      </c>
      <c r="G224">
        <v>31549.012435991222</v>
      </c>
    </row>
    <row r="225" spans="4:7" x14ac:dyDescent="0.25">
      <c r="D225" s="16">
        <v>1056</v>
      </c>
      <c r="E225">
        <v>23221</v>
      </c>
      <c r="F225" s="33">
        <v>21233.540599853695</v>
      </c>
      <c r="G225">
        <v>276036.02779809805</v>
      </c>
    </row>
    <row r="226" spans="4:7" x14ac:dyDescent="0.25">
      <c r="D226" s="16">
        <v>1057</v>
      </c>
      <c r="E226">
        <v>12895</v>
      </c>
      <c r="F226" s="33">
        <v>11791.331382589613</v>
      </c>
      <c r="G226">
        <v>153287.30797366498</v>
      </c>
    </row>
    <row r="227" spans="4:7" x14ac:dyDescent="0.25">
      <c r="D227" s="16">
        <v>1058</v>
      </c>
      <c r="E227">
        <v>5567</v>
      </c>
      <c r="F227" s="33">
        <v>5090.5267008046822</v>
      </c>
      <c r="G227">
        <v>66176.847110460862</v>
      </c>
    </row>
    <row r="228" spans="4:7" x14ac:dyDescent="0.25">
      <c r="D228" s="16">
        <v>1059</v>
      </c>
      <c r="E228">
        <v>50293</v>
      </c>
      <c r="F228" s="33">
        <v>45988.47841989759</v>
      </c>
      <c r="G228">
        <v>459884.78419897589</v>
      </c>
    </row>
    <row r="229" spans="4:7" x14ac:dyDescent="0.25">
      <c r="D229" s="16">
        <v>1060</v>
      </c>
      <c r="E229">
        <v>21393</v>
      </c>
      <c r="F229" s="33">
        <v>19561.99707388442</v>
      </c>
      <c r="G229">
        <v>195619.97073884419</v>
      </c>
    </row>
    <row r="230" spans="4:7" x14ac:dyDescent="0.25">
      <c r="D230" s="16">
        <v>1061</v>
      </c>
      <c r="E230">
        <v>18959</v>
      </c>
      <c r="F230" s="33">
        <v>17336.320409656182</v>
      </c>
      <c r="G230">
        <v>173363.20409656182</v>
      </c>
    </row>
    <row r="231" spans="4:7" x14ac:dyDescent="0.25">
      <c r="D231" s="16">
        <v>1062</v>
      </c>
      <c r="E231">
        <v>7420</v>
      </c>
      <c r="F231" s="33">
        <v>6784.9305047549387</v>
      </c>
      <c r="G231">
        <v>67849.305047549395</v>
      </c>
    </row>
    <row r="232" spans="4:7" x14ac:dyDescent="0.25">
      <c r="D232" s="16">
        <v>1063</v>
      </c>
      <c r="E232">
        <v>17512</v>
      </c>
      <c r="F232" s="33">
        <v>16013.167520117046</v>
      </c>
      <c r="G232">
        <v>160131.67520117047</v>
      </c>
    </row>
    <row r="233" spans="4:7" x14ac:dyDescent="0.25">
      <c r="D233" s="16">
        <v>1064</v>
      </c>
      <c r="E233">
        <v>12035</v>
      </c>
      <c r="F233" s="33">
        <v>11004.937820043893</v>
      </c>
      <c r="G233">
        <v>110049.37820043894</v>
      </c>
    </row>
    <row r="234" spans="4:7" x14ac:dyDescent="0.25">
      <c r="D234" s="16">
        <v>1065</v>
      </c>
      <c r="E234">
        <v>11220</v>
      </c>
      <c r="F234" s="33">
        <v>10259.692757863937</v>
      </c>
      <c r="G234">
        <v>102596.92757863937</v>
      </c>
    </row>
    <row r="235" spans="4:7" x14ac:dyDescent="0.25">
      <c r="D235" s="16">
        <v>1066</v>
      </c>
      <c r="E235">
        <v>2099</v>
      </c>
      <c r="F235" s="33">
        <v>1919.3489392831018</v>
      </c>
      <c r="G235">
        <v>19193.489392831019</v>
      </c>
    </row>
    <row r="236" spans="4:7" x14ac:dyDescent="0.25">
      <c r="D236" s="16">
        <v>1067</v>
      </c>
      <c r="E236">
        <v>2152</v>
      </c>
      <c r="F236" s="33">
        <v>1967.81272860278</v>
      </c>
      <c r="G236">
        <v>19678.1272860278</v>
      </c>
    </row>
    <row r="237" spans="4:7" x14ac:dyDescent="0.25">
      <c r="D237" s="16">
        <v>1068</v>
      </c>
      <c r="E237">
        <v>6886</v>
      </c>
      <c r="F237" s="33">
        <v>6296.6349670812006</v>
      </c>
      <c r="G237">
        <v>62966.349670812007</v>
      </c>
    </row>
    <row r="238" spans="4:7" x14ac:dyDescent="0.25">
      <c r="D238" s="16">
        <v>1069</v>
      </c>
      <c r="E238">
        <v>14792</v>
      </c>
      <c r="F238" s="33">
        <v>13525.969275786394</v>
      </c>
      <c r="G238">
        <v>135259.69275786393</v>
      </c>
    </row>
    <row r="239" spans="4:7" x14ac:dyDescent="0.25">
      <c r="D239" s="16">
        <v>1070</v>
      </c>
      <c r="E239">
        <v>6195</v>
      </c>
      <c r="F239" s="33">
        <v>5664.7768836869063</v>
      </c>
      <c r="G239">
        <v>56647.768836869065</v>
      </c>
    </row>
    <row r="240" spans="4:7" x14ac:dyDescent="0.25">
      <c r="D240" s="16">
        <v>1071</v>
      </c>
      <c r="E240">
        <v>4824</v>
      </c>
      <c r="F240" s="33">
        <v>4411.1192392099492</v>
      </c>
      <c r="G240">
        <v>44111.192392099489</v>
      </c>
    </row>
    <row r="241" spans="4:7" x14ac:dyDescent="0.25">
      <c r="D241" s="16">
        <v>1072</v>
      </c>
      <c r="E241">
        <v>18874</v>
      </c>
      <c r="F241" s="33">
        <v>17258.595464520851</v>
      </c>
      <c r="G241">
        <v>172585.95464520852</v>
      </c>
    </row>
    <row r="242" spans="4:7" x14ac:dyDescent="0.25">
      <c r="D242" s="16">
        <v>1073</v>
      </c>
      <c r="E242">
        <v>33547</v>
      </c>
      <c r="F242" s="33">
        <v>30675.749817117779</v>
      </c>
      <c r="G242">
        <v>306757.49817117781</v>
      </c>
    </row>
    <row r="243" spans="4:7" x14ac:dyDescent="0.25">
      <c r="D243" s="16">
        <v>1074</v>
      </c>
      <c r="E243">
        <v>15100</v>
      </c>
      <c r="F243" s="33">
        <v>13807.607900512072</v>
      </c>
      <c r="G243">
        <v>138076.07900512073</v>
      </c>
    </row>
    <row r="244" spans="4:7" x14ac:dyDescent="0.25">
      <c r="D244" s="16">
        <v>1075</v>
      </c>
      <c r="E244">
        <v>10202</v>
      </c>
      <c r="F244" s="33">
        <v>9328.8222384784203</v>
      </c>
      <c r="G244">
        <v>93288.222384784196</v>
      </c>
    </row>
    <row r="245" spans="4:7" x14ac:dyDescent="0.25">
      <c r="D245" s="16">
        <v>1076</v>
      </c>
      <c r="E245">
        <v>23120</v>
      </c>
      <c r="F245" s="33">
        <v>21141.185076810536</v>
      </c>
      <c r="G245">
        <v>211411.85076810536</v>
      </c>
    </row>
    <row r="246" spans="4:7" x14ac:dyDescent="0.25">
      <c r="D246" s="16">
        <v>1077</v>
      </c>
      <c r="E246">
        <v>4390</v>
      </c>
      <c r="F246" s="33">
        <v>4014.2648134601322</v>
      </c>
      <c r="G246">
        <v>40142.648134601324</v>
      </c>
    </row>
    <row r="247" spans="4:7" x14ac:dyDescent="0.25">
      <c r="D247" s="16">
        <v>1078</v>
      </c>
      <c r="E247">
        <v>8857</v>
      </c>
      <c r="F247" s="33">
        <v>8098.939283101683</v>
      </c>
      <c r="G247">
        <v>80989.392831016827</v>
      </c>
    </row>
    <row r="248" spans="4:7" x14ac:dyDescent="0.25">
      <c r="D248" s="16">
        <v>1079</v>
      </c>
      <c r="E248">
        <v>1912</v>
      </c>
      <c r="F248" s="33">
        <v>1748.3540599853695</v>
      </c>
      <c r="G248">
        <v>17483.540599853695</v>
      </c>
    </row>
    <row r="249" spans="4:7" x14ac:dyDescent="0.25">
      <c r="D249" s="16">
        <v>1080</v>
      </c>
      <c r="E249">
        <v>44936</v>
      </c>
      <c r="F249" s="33">
        <v>41089.978054133142</v>
      </c>
      <c r="G249">
        <v>410899.78054133139</v>
      </c>
    </row>
    <row r="250" spans="4:7" x14ac:dyDescent="0.25">
      <c r="D250" s="16">
        <v>1081</v>
      </c>
      <c r="E250">
        <v>2777</v>
      </c>
      <c r="F250" s="33">
        <v>2539.3196781272864</v>
      </c>
      <c r="G250">
        <v>25393.196781272862</v>
      </c>
    </row>
    <row r="251" spans="4:7" x14ac:dyDescent="0.25">
      <c r="D251" s="16">
        <v>1082</v>
      </c>
      <c r="E251">
        <v>29468</v>
      </c>
      <c r="F251" s="33">
        <v>26945.86686174104</v>
      </c>
      <c r="G251">
        <v>269458.66861741041</v>
      </c>
    </row>
    <row r="252" spans="4:7" x14ac:dyDescent="0.25">
      <c r="D252" s="16">
        <v>1083</v>
      </c>
      <c r="E252">
        <v>10579</v>
      </c>
      <c r="F252" s="33">
        <v>9673.5552304316025</v>
      </c>
      <c r="G252">
        <v>96735.552304316021</v>
      </c>
    </row>
    <row r="253" spans="4:7" x14ac:dyDescent="0.25">
      <c r="D253" s="16">
        <v>1084</v>
      </c>
      <c r="E253">
        <v>13023</v>
      </c>
      <c r="F253" s="33"/>
      <c r="G253"/>
    </row>
    <row r="254" spans="4:7" x14ac:dyDescent="0.25">
      <c r="D254" s="16">
        <v>1085</v>
      </c>
      <c r="E254">
        <v>12227</v>
      </c>
      <c r="F254" s="33"/>
      <c r="G254"/>
    </row>
    <row r="255" spans="4:7" x14ac:dyDescent="0.25">
      <c r="D255" s="16">
        <v>1086</v>
      </c>
      <c r="E255">
        <v>10097</v>
      </c>
      <c r="F255" s="33"/>
      <c r="G255"/>
    </row>
    <row r="256" spans="4:7" x14ac:dyDescent="0.25">
      <c r="D256" s="16">
        <v>1087</v>
      </c>
      <c r="E256">
        <v>25274</v>
      </c>
      <c r="F256" s="33"/>
      <c r="G256"/>
    </row>
    <row r="257" spans="4:7" x14ac:dyDescent="0.25">
      <c r="D257" s="16">
        <v>1088</v>
      </c>
      <c r="E257">
        <v>23535</v>
      </c>
      <c r="F257" s="33"/>
      <c r="G257"/>
    </row>
    <row r="258" spans="4:7" x14ac:dyDescent="0.25">
      <c r="D258" s="16">
        <v>1089</v>
      </c>
      <c r="E258">
        <v>44484</v>
      </c>
      <c r="F258" s="33"/>
      <c r="G258"/>
    </row>
    <row r="259" spans="4:7" x14ac:dyDescent="0.25">
      <c r="D259" s="16">
        <v>1090</v>
      </c>
      <c r="E259">
        <v>28800</v>
      </c>
      <c r="F259" s="33"/>
      <c r="G259"/>
    </row>
    <row r="260" spans="4:7" x14ac:dyDescent="0.25">
      <c r="D260" s="16">
        <v>1091</v>
      </c>
      <c r="E260">
        <v>17475</v>
      </c>
      <c r="F260" s="33"/>
      <c r="G260"/>
    </row>
    <row r="261" spans="4:7" x14ac:dyDescent="0.25">
      <c r="D261" s="16">
        <v>1092</v>
      </c>
      <c r="E261">
        <v>8370</v>
      </c>
      <c r="F261" s="33"/>
      <c r="G261"/>
    </row>
    <row r="262" spans="4:7" x14ac:dyDescent="0.25">
      <c r="D262" s="16">
        <v>1093</v>
      </c>
      <c r="E262">
        <v>16288</v>
      </c>
      <c r="F262" s="33"/>
      <c r="G262"/>
    </row>
    <row r="263" spans="4:7" x14ac:dyDescent="0.25">
      <c r="D263" s="16">
        <v>1094</v>
      </c>
      <c r="E263">
        <v>7850</v>
      </c>
      <c r="F263" s="33"/>
      <c r="G263"/>
    </row>
    <row r="264" spans="4:7" x14ac:dyDescent="0.25">
      <c r="D264" s="16">
        <v>1095</v>
      </c>
      <c r="E264">
        <v>3280</v>
      </c>
      <c r="F264" s="33"/>
      <c r="G264"/>
    </row>
    <row r="265" spans="4:7" x14ac:dyDescent="0.25">
      <c r="D265" s="16">
        <v>1096</v>
      </c>
      <c r="E265">
        <v>2238</v>
      </c>
      <c r="F265" s="33"/>
      <c r="G265"/>
    </row>
    <row r="266" spans="4:7" x14ac:dyDescent="0.25">
      <c r="D266" s="16">
        <v>1097</v>
      </c>
      <c r="E266">
        <v>7449</v>
      </c>
      <c r="F266" s="33"/>
      <c r="G266"/>
    </row>
    <row r="267" spans="4:7" x14ac:dyDescent="0.25">
      <c r="D267" s="16">
        <v>1098</v>
      </c>
      <c r="E267">
        <v>5162</v>
      </c>
      <c r="F267" s="33"/>
      <c r="G267"/>
    </row>
    <row r="268" spans="4:7" x14ac:dyDescent="0.25">
      <c r="D268" s="16" t="s">
        <v>28</v>
      </c>
      <c r="E268">
        <v>1768308</v>
      </c>
      <c r="F268" s="33">
        <v>5658581.7483540578</v>
      </c>
      <c r="G268">
        <v>58313643.580321878</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topLeftCell="A49" zoomScale="90" zoomScaleNormal="90" workbookViewId="0">
      <selection activeCell="C58" sqref="C58"/>
    </sheetView>
  </sheetViews>
  <sheetFormatPr defaultRowHeight="15" x14ac:dyDescent="0.25"/>
  <cols>
    <col min="1" max="1" width="19.7109375" bestFit="1" customWidth="1"/>
    <col min="2" max="2" width="17.28515625" bestFit="1" customWidth="1"/>
    <col min="3" max="3" width="18.7109375" customWidth="1"/>
    <col min="4" max="4" width="10.7109375" bestFit="1" customWidth="1"/>
    <col min="5" max="5" width="20" bestFit="1" customWidth="1"/>
    <col min="6" max="6" width="13" bestFit="1" customWidth="1"/>
    <col min="7" max="7" width="12.7109375" customWidth="1"/>
    <col min="8" max="8" width="13.28515625" customWidth="1"/>
    <col min="9" max="9" width="13.85546875" bestFit="1" customWidth="1"/>
    <col min="10" max="10" width="12.85546875" customWidth="1"/>
    <col min="11" max="11" width="20" bestFit="1" customWidth="1"/>
    <col min="12" max="12" width="21.7109375" bestFit="1" customWidth="1"/>
    <col min="13" max="13" width="14.28515625" bestFit="1" customWidth="1"/>
    <col min="14" max="14" width="11.85546875" bestFit="1" customWidth="1"/>
    <col min="15" max="15" width="11.5703125" bestFit="1" customWidth="1"/>
    <col min="16" max="16" width="14.85546875" bestFit="1" customWidth="1"/>
  </cols>
  <sheetData>
    <row r="1" spans="1:16" x14ac:dyDescent="0.25">
      <c r="A1" s="8" t="s">
        <v>75</v>
      </c>
      <c r="B1" s="8" t="s">
        <v>2</v>
      </c>
      <c r="C1" s="8" t="s">
        <v>92</v>
      </c>
      <c r="D1" s="12" t="s">
        <v>93</v>
      </c>
      <c r="E1" s="12" t="s">
        <v>4</v>
      </c>
      <c r="F1" s="12" t="s">
        <v>94</v>
      </c>
      <c r="G1" s="12" t="s">
        <v>5</v>
      </c>
      <c r="H1" s="12" t="s">
        <v>95</v>
      </c>
      <c r="I1" s="13" t="s">
        <v>96</v>
      </c>
    </row>
    <row r="2" spans="1:16" x14ac:dyDescent="0.25">
      <c r="A2" s="90">
        <v>45947</v>
      </c>
      <c r="B2" s="87" t="s">
        <v>97</v>
      </c>
      <c r="C2" s="87" t="s">
        <v>98</v>
      </c>
      <c r="D2" s="88"/>
      <c r="E2" s="88"/>
      <c r="F2" s="88"/>
      <c r="G2" s="88">
        <f>D2*E2</f>
        <v>0</v>
      </c>
      <c r="H2" s="11"/>
      <c r="I2" s="89">
        <v>1972281</v>
      </c>
    </row>
    <row r="3" spans="1:16" x14ac:dyDescent="0.25">
      <c r="A3" s="90">
        <v>45947</v>
      </c>
      <c r="B3" s="87" t="s">
        <v>99</v>
      </c>
      <c r="C3" s="87" t="s">
        <v>98</v>
      </c>
      <c r="D3" s="88"/>
      <c r="E3" s="88"/>
      <c r="F3" s="88"/>
      <c r="G3" s="88">
        <f>D3*E3</f>
        <v>0</v>
      </c>
      <c r="H3" s="11">
        <v>0</v>
      </c>
      <c r="I3" s="89">
        <v>0</v>
      </c>
    </row>
    <row r="4" spans="1:16" x14ac:dyDescent="0.25">
      <c r="A4" s="90">
        <v>45947</v>
      </c>
      <c r="B4" s="87" t="s">
        <v>152</v>
      </c>
      <c r="C4" s="87" t="s">
        <v>98</v>
      </c>
      <c r="D4" s="11"/>
      <c r="E4" s="11"/>
      <c r="F4" s="11"/>
      <c r="G4" s="11">
        <f>D4*E4</f>
        <v>0</v>
      </c>
      <c r="H4" s="11">
        <v>0</v>
      </c>
      <c r="I4" s="92">
        <v>87620</v>
      </c>
    </row>
    <row r="5" spans="1:16" ht="15.75" thickBot="1" x14ac:dyDescent="0.3">
      <c r="A5" s="90">
        <v>45947</v>
      </c>
      <c r="B5" s="87" t="s">
        <v>174</v>
      </c>
      <c r="C5" s="87" t="s">
        <v>98</v>
      </c>
      <c r="D5" s="11"/>
      <c r="E5" s="11"/>
      <c r="F5" s="11"/>
      <c r="G5" s="11">
        <f t="shared" ref="G5:G12" si="0">D5*E5</f>
        <v>0</v>
      </c>
      <c r="H5" s="11"/>
      <c r="I5" s="92">
        <v>456400</v>
      </c>
    </row>
    <row r="6" spans="1:16" ht="15.75" thickTop="1" x14ac:dyDescent="0.25">
      <c r="A6" s="90">
        <v>45947</v>
      </c>
      <c r="B6" s="102" t="s">
        <v>182</v>
      </c>
      <c r="C6" s="87" t="s">
        <v>98</v>
      </c>
      <c r="D6" s="11"/>
      <c r="E6" s="11"/>
      <c r="F6" s="11"/>
      <c r="G6" s="11">
        <f t="shared" si="0"/>
        <v>0</v>
      </c>
      <c r="H6" s="11"/>
      <c r="I6" s="11">
        <v>0</v>
      </c>
      <c r="K6" s="17">
        <f>SUM(Table3[Total])</f>
        <v>8551780</v>
      </c>
      <c r="L6" s="3" t="s">
        <v>2</v>
      </c>
      <c r="M6" t="s">
        <v>88</v>
      </c>
    </row>
    <row r="7" spans="1:16" x14ac:dyDescent="0.25">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25">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25">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25">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25">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25">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25">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25">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25">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25">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25">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25">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25">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25">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25">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25">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25">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25">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25">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25">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25">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25">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25">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25">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25">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25">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25">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25">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25">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25">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25">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25">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25">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25">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25">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25">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25">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25">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25">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25">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25">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25">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25">
      <c r="A49" s="1">
        <v>45966</v>
      </c>
      <c r="B49" t="s">
        <v>174</v>
      </c>
      <c r="D49" s="11"/>
      <c r="E49" s="11"/>
      <c r="F49" s="11"/>
      <c r="G49" s="11">
        <f>D49*E49</f>
        <v>0</v>
      </c>
      <c r="H49" s="11">
        <f>SUMIFS(Table14[Debit], Table14[Date], Table3[[#This Row],[Date]], Table14[Party], Table3[[#This Row],[Party Name]])</f>
        <v>2300</v>
      </c>
      <c r="I49" s="11">
        <f>(D49*E49)-Table3[[#This Row],[Paid]]</f>
        <v>-2300</v>
      </c>
      <c r="L49" s="47" t="s">
        <v>189</v>
      </c>
      <c r="M49" s="14">
        <v>450</v>
      </c>
      <c r="N49" s="14">
        <v>364500</v>
      </c>
      <c r="O49" s="14">
        <v>377570</v>
      </c>
      <c r="P49" s="14">
        <v>-13070</v>
      </c>
    </row>
    <row r="50" spans="1:16" x14ac:dyDescent="0.25">
      <c r="A50" s="1">
        <v>45969</v>
      </c>
      <c r="B50" t="s">
        <v>174</v>
      </c>
      <c r="C50" t="s">
        <v>423</v>
      </c>
      <c r="D50" s="11">
        <v>135</v>
      </c>
      <c r="E50" s="11">
        <v>775</v>
      </c>
      <c r="F50" s="11"/>
      <c r="G50" s="11">
        <f t="shared" ref="G50:G53" si="11">D50*E50</f>
        <v>104625</v>
      </c>
      <c r="H50" s="11">
        <f>SUMIFS(Table14[Debit], Table14[Date], Table3[[#This Row],[Date]], Table14[Party], Table3[[#This Row],[Party Name]])</f>
        <v>0</v>
      </c>
      <c r="I50" s="11">
        <f>(D50*E50)-Table3[[#This Row],[Paid]]</f>
        <v>104625</v>
      </c>
      <c r="L50" s="27">
        <v>45965</v>
      </c>
      <c r="M50" s="14">
        <v>443</v>
      </c>
      <c r="N50" s="14">
        <v>358830</v>
      </c>
      <c r="O50" s="14">
        <v>317950</v>
      </c>
      <c r="P50" s="14">
        <v>40880</v>
      </c>
    </row>
    <row r="51" spans="1:16" x14ac:dyDescent="0.25">
      <c r="A51" s="1">
        <v>45973</v>
      </c>
      <c r="B51" t="s">
        <v>97</v>
      </c>
      <c r="C51" t="s">
        <v>419</v>
      </c>
      <c r="D51" s="11">
        <v>268</v>
      </c>
      <c r="E51" s="11">
        <v>810</v>
      </c>
      <c r="F51" s="11">
        <v>43800</v>
      </c>
      <c r="G51" s="11">
        <f t="shared" si="11"/>
        <v>217080</v>
      </c>
      <c r="H51" s="11">
        <f>SUMIFS(Table14[Debit], Table14[Date], Table3[[#This Row],[Date]], Table14[Party], Table3[[#This Row],[Party Name]])</f>
        <v>121370</v>
      </c>
      <c r="I51" s="11">
        <f>(D51*E51)-Table3[[#This Row],[Paid]]</f>
        <v>95710</v>
      </c>
      <c r="L51" s="47" t="s">
        <v>364</v>
      </c>
      <c r="M51" s="14">
        <v>443</v>
      </c>
      <c r="N51" s="14">
        <v>358830</v>
      </c>
      <c r="O51" s="14">
        <v>317950</v>
      </c>
      <c r="P51" s="14">
        <v>40880</v>
      </c>
    </row>
    <row r="52" spans="1:16" x14ac:dyDescent="0.25">
      <c r="A52" s="1">
        <v>45973</v>
      </c>
      <c r="B52" t="s">
        <v>380</v>
      </c>
      <c r="C52" t="s">
        <v>412</v>
      </c>
      <c r="D52" s="11">
        <v>249</v>
      </c>
      <c r="E52" s="11">
        <v>800</v>
      </c>
      <c r="F52" s="11"/>
      <c r="G52" s="11">
        <f t="shared" si="11"/>
        <v>199200</v>
      </c>
      <c r="H52" s="11">
        <f>SUMIFS(Table14[Debit], Table14[Date], Table3[[#This Row],[Date]], Table14[Party], Table3[[#This Row],[Party Name]])</f>
        <v>30000</v>
      </c>
      <c r="I52" s="11">
        <f>(D52*E52)-Table3[[#This Row],[Paid]]</f>
        <v>169200</v>
      </c>
      <c r="L52" s="27">
        <v>45966</v>
      </c>
      <c r="M52" s="14"/>
      <c r="N52" s="14">
        <v>0</v>
      </c>
      <c r="O52" s="14">
        <v>265000</v>
      </c>
      <c r="P52" s="14">
        <v>-265000</v>
      </c>
    </row>
    <row r="53" spans="1:16" x14ac:dyDescent="0.25">
      <c r="A53" s="1">
        <v>45975</v>
      </c>
      <c r="B53" t="s">
        <v>97</v>
      </c>
      <c r="D53" s="11"/>
      <c r="E53" s="11"/>
      <c r="F53" s="11"/>
      <c r="G53" s="11">
        <f t="shared" si="11"/>
        <v>0</v>
      </c>
      <c r="H53" s="11">
        <f>SUMIFS(Table14[Debit], Table14[Date], Table3[[#This Row],[Date]], Table14[Party], Table3[[#This Row],[Party Name]])</f>
        <v>250100</v>
      </c>
      <c r="I53" s="11">
        <f>(D53*E53)-Table3[[#This Row],[Paid]]</f>
        <v>-250100</v>
      </c>
      <c r="L53" s="47" t="s">
        <v>106</v>
      </c>
      <c r="M53" s="14"/>
      <c r="N53" s="14">
        <v>0</v>
      </c>
      <c r="O53" s="14">
        <v>265000</v>
      </c>
      <c r="P53" s="14">
        <v>-265000</v>
      </c>
    </row>
    <row r="54" spans="1:16" x14ac:dyDescent="0.25">
      <c r="A54" s="1">
        <v>45978</v>
      </c>
      <c r="B54" t="s">
        <v>97</v>
      </c>
      <c r="C54" t="s">
        <v>189</v>
      </c>
      <c r="D54" s="11">
        <v>429</v>
      </c>
      <c r="E54" s="11">
        <v>810</v>
      </c>
      <c r="F54" s="11">
        <v>74500</v>
      </c>
      <c r="G54" s="11">
        <f t="shared" ref="G54:G58" si="12">D54*E54</f>
        <v>347490</v>
      </c>
      <c r="H54" s="11"/>
      <c r="I54" s="11">
        <f>(D54*E54)-Table3[[#This Row],[Paid]]</f>
        <v>347490</v>
      </c>
      <c r="L54" s="27">
        <v>45967</v>
      </c>
      <c r="M54" s="14">
        <v>245</v>
      </c>
      <c r="N54" s="14">
        <v>189875</v>
      </c>
      <c r="O54" s="14">
        <v>191200</v>
      </c>
      <c r="P54" s="14">
        <v>-1325</v>
      </c>
    </row>
    <row r="55" spans="1:16" x14ac:dyDescent="0.25">
      <c r="A55" s="1">
        <v>45978</v>
      </c>
      <c r="B55" t="s">
        <v>97</v>
      </c>
      <c r="C55" t="s">
        <v>364</v>
      </c>
      <c r="D55" s="11">
        <v>468</v>
      </c>
      <c r="E55" s="11">
        <v>810</v>
      </c>
      <c r="F55" s="11">
        <v>71900</v>
      </c>
      <c r="G55" s="11">
        <f t="shared" si="12"/>
        <v>379080</v>
      </c>
      <c r="H55" s="11">
        <f>SUMIFS(Table14[Debit], Table14[Date], Table3[[#This Row],[Date]], Table14[Party], Table3[[#This Row],[Party Name]])</f>
        <v>146400</v>
      </c>
      <c r="I55" s="11">
        <f>(D55*E55)-Table3[[#This Row],[Paid]]</f>
        <v>232680</v>
      </c>
      <c r="L55" s="47" t="s">
        <v>106</v>
      </c>
      <c r="M55" s="14">
        <v>245</v>
      </c>
      <c r="N55" s="14">
        <v>189875</v>
      </c>
      <c r="O55" s="14">
        <v>191200</v>
      </c>
      <c r="P55" s="14">
        <v>-1325</v>
      </c>
    </row>
    <row r="56" spans="1:16" x14ac:dyDescent="0.25">
      <c r="A56" s="1">
        <v>45979</v>
      </c>
      <c r="B56" t="s">
        <v>97</v>
      </c>
      <c r="D56" s="11"/>
      <c r="E56" s="11"/>
      <c r="F56" s="11"/>
      <c r="G56" s="11">
        <f t="shared" si="12"/>
        <v>0</v>
      </c>
      <c r="H56" s="11">
        <f>SUMIFS(Table14[Debit], Table14[Date], Table3[[#This Row],[Date]], Table14[Party], Table3[[#This Row],[Party Name]])</f>
        <v>300082</v>
      </c>
      <c r="I56" s="11">
        <f>(D56*E56)-Table3[[#This Row],[Paid]]</f>
        <v>-300082</v>
      </c>
      <c r="L56" s="27">
        <v>45968</v>
      </c>
      <c r="M56" s="14">
        <v>528</v>
      </c>
      <c r="N56" s="14">
        <v>425060</v>
      </c>
      <c r="O56" s="14">
        <v>318400</v>
      </c>
      <c r="P56" s="14">
        <v>106660</v>
      </c>
    </row>
    <row r="57" spans="1:16" x14ac:dyDescent="0.25">
      <c r="A57" s="1">
        <v>45979</v>
      </c>
      <c r="B57" t="s">
        <v>174</v>
      </c>
      <c r="D57" s="11"/>
      <c r="E57" s="11"/>
      <c r="F57" s="11"/>
      <c r="G57" s="11">
        <f t="shared" si="12"/>
        <v>0</v>
      </c>
      <c r="H57" s="11">
        <f>SUMIFS(Table14[Debit], Table14[Date], Table3[[#This Row],[Date]], Table14[Party], Table3[[#This Row],[Party Name]])</f>
        <v>140000</v>
      </c>
      <c r="I57" s="11">
        <f>(D57*E57)-Table3[[#This Row],[Paid]]</f>
        <v>-140000</v>
      </c>
      <c r="L57" s="47" t="s">
        <v>300</v>
      </c>
      <c r="M57" s="14">
        <v>266</v>
      </c>
      <c r="N57" s="14">
        <v>215460</v>
      </c>
      <c r="O57" s="14">
        <v>293400</v>
      </c>
      <c r="P57" s="14">
        <v>-77940</v>
      </c>
    </row>
    <row r="58" spans="1:16" x14ac:dyDescent="0.25">
      <c r="A58" s="1">
        <v>45978</v>
      </c>
      <c r="B58" t="s">
        <v>380</v>
      </c>
      <c r="D58" s="11"/>
      <c r="E58" s="11"/>
      <c r="F58" s="11"/>
      <c r="G58" s="11">
        <f t="shared" si="12"/>
        <v>0</v>
      </c>
      <c r="H58" s="11">
        <f>SUMIFS(Table14[Debit], Table14[Date], Table3[[#This Row],[Date]], Table14[Party], Table3[[#This Row],[Party Name]])</f>
        <v>201000</v>
      </c>
      <c r="I58" s="11">
        <f>(D58*E58)-Table3[[#This Row],[Paid]]</f>
        <v>-201000</v>
      </c>
      <c r="L58" s="47" t="s">
        <v>381</v>
      </c>
      <c r="M58" s="14">
        <v>262</v>
      </c>
      <c r="N58" s="14">
        <v>209600</v>
      </c>
      <c r="O58" s="14">
        <v>25000</v>
      </c>
      <c r="P58" s="14">
        <v>184600</v>
      </c>
    </row>
    <row r="59" spans="1:16" x14ac:dyDescent="0.25">
      <c r="A59" s="1"/>
      <c r="D59" s="11"/>
      <c r="E59" s="11"/>
      <c r="F59" s="11"/>
      <c r="G59" s="11">
        <f>D59*E59</f>
        <v>0</v>
      </c>
      <c r="H59" s="11"/>
      <c r="I59" s="11">
        <f>(D59*E59)-Table3[[#This Row],[Paid]]</f>
        <v>0</v>
      </c>
      <c r="L59" s="27">
        <v>45969</v>
      </c>
      <c r="M59" s="14">
        <v>618</v>
      </c>
      <c r="N59" s="14">
        <v>495855</v>
      </c>
      <c r="O59" s="14">
        <v>375250</v>
      </c>
      <c r="P59" s="14">
        <v>120605</v>
      </c>
    </row>
    <row r="60" spans="1:16" x14ac:dyDescent="0.25">
      <c r="A60" s="1"/>
      <c r="D60" s="14"/>
      <c r="E60" s="14"/>
      <c r="F60" s="14"/>
      <c r="G60" s="14">
        <f>SUBTOTAL(109,Table3[Total])</f>
        <v>8551780</v>
      </c>
      <c r="H60" s="14">
        <f>SUBTOTAL(109,Table3[Paid])</f>
        <v>7743628</v>
      </c>
      <c r="I60" s="14">
        <f>SUBTOTAL(109,Table3[balance])</f>
        <v>3324453</v>
      </c>
      <c r="L60" s="47" t="s">
        <v>364</v>
      </c>
      <c r="M60" s="14">
        <v>483</v>
      </c>
      <c r="N60" s="14">
        <v>391230</v>
      </c>
      <c r="O60" s="14">
        <v>375250</v>
      </c>
      <c r="P60" s="14">
        <v>15980</v>
      </c>
    </row>
    <row r="61" spans="1:16" x14ac:dyDescent="0.25">
      <c r="L61" s="47" t="s">
        <v>423</v>
      </c>
      <c r="M61" s="14">
        <v>135</v>
      </c>
      <c r="N61" s="14">
        <v>104625</v>
      </c>
      <c r="O61" s="14">
        <v>0</v>
      </c>
      <c r="P61" s="14">
        <v>104625</v>
      </c>
    </row>
    <row r="62" spans="1:16" x14ac:dyDescent="0.25">
      <c r="L62" s="27">
        <v>45939</v>
      </c>
      <c r="M62" s="14">
        <v>431</v>
      </c>
      <c r="N62" s="14">
        <v>349110</v>
      </c>
      <c r="O62" s="14">
        <v>0</v>
      </c>
      <c r="P62" s="14">
        <v>349110</v>
      </c>
    </row>
    <row r="63" spans="1:16" x14ac:dyDescent="0.25">
      <c r="L63" s="47" t="s">
        <v>189</v>
      </c>
      <c r="M63" s="14">
        <v>431</v>
      </c>
      <c r="N63" s="14">
        <v>349110</v>
      </c>
      <c r="O63" s="14">
        <v>0</v>
      </c>
      <c r="P63" s="14">
        <v>349110</v>
      </c>
    </row>
    <row r="64" spans="1:16" x14ac:dyDescent="0.25">
      <c r="L64" s="27">
        <v>45971</v>
      </c>
      <c r="M64" s="14">
        <v>272</v>
      </c>
      <c r="N64" s="14">
        <v>217600</v>
      </c>
      <c r="O64" s="14">
        <v>114835</v>
      </c>
      <c r="P64" s="14">
        <v>102765</v>
      </c>
    </row>
    <row r="65" spans="12:16" x14ac:dyDescent="0.25">
      <c r="L65" s="47" t="s">
        <v>106</v>
      </c>
      <c r="M65" s="14"/>
      <c r="N65" s="14">
        <v>0</v>
      </c>
      <c r="O65" s="14">
        <v>74835</v>
      </c>
      <c r="P65" s="14">
        <v>-74835</v>
      </c>
    </row>
    <row r="66" spans="12:16" x14ac:dyDescent="0.25">
      <c r="L66" s="47" t="s">
        <v>412</v>
      </c>
      <c r="M66" s="14">
        <v>272</v>
      </c>
      <c r="N66" s="14">
        <v>217600</v>
      </c>
      <c r="O66" s="14">
        <v>40000</v>
      </c>
      <c r="P66" s="14">
        <v>177600</v>
      </c>
    </row>
    <row r="67" spans="12:16" x14ac:dyDescent="0.25">
      <c r="L67" s="27">
        <v>45972</v>
      </c>
      <c r="M67" s="14">
        <v>451</v>
      </c>
      <c r="N67" s="14">
        <v>365310</v>
      </c>
      <c r="O67" s="14">
        <v>450000</v>
      </c>
      <c r="P67" s="14">
        <v>-84690</v>
      </c>
    </row>
    <row r="68" spans="12:16" x14ac:dyDescent="0.25">
      <c r="L68" s="47" t="s">
        <v>106</v>
      </c>
      <c r="M68" s="14"/>
      <c r="N68" s="14">
        <v>0</v>
      </c>
      <c r="O68" s="14">
        <v>50000</v>
      </c>
      <c r="P68" s="14">
        <v>-50000</v>
      </c>
    </row>
    <row r="69" spans="12:16" x14ac:dyDescent="0.25">
      <c r="L69" s="47" t="s">
        <v>418</v>
      </c>
      <c r="M69" s="14">
        <v>451</v>
      </c>
      <c r="N69" s="14">
        <v>365310</v>
      </c>
      <c r="O69" s="14">
        <v>400000</v>
      </c>
      <c r="P69" s="14">
        <v>-34690</v>
      </c>
    </row>
    <row r="70" spans="12:16" x14ac:dyDescent="0.25">
      <c r="L70" s="27">
        <v>45973</v>
      </c>
      <c r="M70" s="14">
        <v>517</v>
      </c>
      <c r="N70" s="14">
        <v>416280</v>
      </c>
      <c r="O70" s="14">
        <v>151370</v>
      </c>
      <c r="P70" s="14">
        <v>264910</v>
      </c>
    </row>
    <row r="71" spans="12:16" x14ac:dyDescent="0.25">
      <c r="L71" s="47" t="s">
        <v>412</v>
      </c>
      <c r="M71" s="14">
        <v>249</v>
      </c>
      <c r="N71" s="14">
        <v>199200</v>
      </c>
      <c r="O71" s="14">
        <v>30000</v>
      </c>
      <c r="P71" s="14">
        <v>169200</v>
      </c>
    </row>
    <row r="72" spans="12:16" x14ac:dyDescent="0.25">
      <c r="L72" s="47" t="s">
        <v>419</v>
      </c>
      <c r="M72" s="14">
        <v>268</v>
      </c>
      <c r="N72" s="14">
        <v>217080</v>
      </c>
      <c r="O72" s="14">
        <v>121370</v>
      </c>
      <c r="P72" s="14">
        <v>95710</v>
      </c>
    </row>
    <row r="73" spans="12:16" x14ac:dyDescent="0.25">
      <c r="L73" s="27">
        <v>45975</v>
      </c>
      <c r="M73" s="14"/>
      <c r="N73" s="14">
        <v>0</v>
      </c>
      <c r="O73" s="14">
        <v>250100</v>
      </c>
      <c r="P73" s="14">
        <v>-250100</v>
      </c>
    </row>
    <row r="74" spans="12:16" x14ac:dyDescent="0.25">
      <c r="L74" s="47" t="s">
        <v>106</v>
      </c>
      <c r="M74" s="14"/>
      <c r="N74" s="14">
        <v>0</v>
      </c>
      <c r="O74" s="14">
        <v>250100</v>
      </c>
      <c r="P74" s="14">
        <v>-250100</v>
      </c>
    </row>
    <row r="75" spans="12:16" x14ac:dyDescent="0.25">
      <c r="L75" s="27">
        <v>45978</v>
      </c>
      <c r="M75" s="14">
        <v>897</v>
      </c>
      <c r="N75" s="14">
        <v>726570</v>
      </c>
      <c r="O75" s="14">
        <v>146400</v>
      </c>
      <c r="P75" s="14">
        <v>580170</v>
      </c>
    </row>
    <row r="76" spans="12:16" x14ac:dyDescent="0.25">
      <c r="L76" s="47" t="s">
        <v>189</v>
      </c>
      <c r="M76" s="14">
        <v>429</v>
      </c>
      <c r="N76" s="14">
        <v>347490</v>
      </c>
      <c r="O76" s="14"/>
      <c r="P76" s="14">
        <v>347490</v>
      </c>
    </row>
    <row r="77" spans="12:16" x14ac:dyDescent="0.25">
      <c r="L77" s="47" t="s">
        <v>364</v>
      </c>
      <c r="M77" s="14">
        <v>468</v>
      </c>
      <c r="N77" s="14">
        <v>379080</v>
      </c>
      <c r="O77" s="14">
        <v>146400</v>
      </c>
      <c r="P77" s="14">
        <v>232680</v>
      </c>
    </row>
    <row r="78" spans="12:16" x14ac:dyDescent="0.25">
      <c r="L78" s="27">
        <v>45979</v>
      </c>
      <c r="M78" s="14"/>
      <c r="N78" s="14">
        <v>0</v>
      </c>
      <c r="O78" s="14">
        <v>440082</v>
      </c>
      <c r="P78" s="14">
        <v>-440082</v>
      </c>
    </row>
    <row r="79" spans="12:16" x14ac:dyDescent="0.25">
      <c r="L79" s="47" t="s">
        <v>106</v>
      </c>
      <c r="M79" s="14"/>
      <c r="N79" s="14">
        <v>0</v>
      </c>
      <c r="O79" s="14">
        <v>440082</v>
      </c>
      <c r="P79" s="14">
        <v>-440082</v>
      </c>
    </row>
    <row r="80" spans="12:16" x14ac:dyDescent="0.25">
      <c r="L80" s="27">
        <v>45982</v>
      </c>
      <c r="M80" s="14"/>
      <c r="N80" s="14">
        <v>0</v>
      </c>
      <c r="O80" s="14">
        <v>0</v>
      </c>
      <c r="P80" s="14">
        <v>0</v>
      </c>
    </row>
    <row r="81" spans="12:16" x14ac:dyDescent="0.25">
      <c r="L81" s="47" t="s">
        <v>106</v>
      </c>
      <c r="M81" s="14"/>
      <c r="N81" s="14">
        <v>0</v>
      </c>
      <c r="O81" s="14">
        <v>0</v>
      </c>
      <c r="P81" s="14">
        <v>0</v>
      </c>
    </row>
    <row r="82" spans="12:16" x14ac:dyDescent="0.25">
      <c r="L82" s="27"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72"/>
  <sheetViews>
    <sheetView tabSelected="1" topLeftCell="A470" zoomScale="132" workbookViewId="0">
      <selection activeCell="C392" sqref="C392"/>
    </sheetView>
  </sheetViews>
  <sheetFormatPr defaultRowHeight="15" x14ac:dyDescent="0.25"/>
  <cols>
    <col min="1" max="1" width="12.140625" customWidth="1"/>
    <col min="2" max="2" width="19.7109375" bestFit="1" customWidth="1"/>
    <col min="3" max="3" width="13.5703125" bestFit="1" customWidth="1"/>
    <col min="4" max="4" width="12.7109375" bestFit="1" customWidth="1"/>
    <col min="5" max="5" width="14.85546875" customWidth="1"/>
    <col min="6" max="6" width="13.28515625" bestFit="1" customWidth="1"/>
    <col min="7" max="7" width="14.7109375" bestFit="1" customWidth="1"/>
    <col min="8" max="8" width="16.140625" customWidth="1"/>
    <col min="9" max="9" width="14.42578125" bestFit="1" customWidth="1"/>
    <col min="10" max="10" width="20.140625" bestFit="1" customWidth="1"/>
    <col min="11" max="11" width="13.5703125" bestFit="1" customWidth="1"/>
    <col min="12" max="12" width="12.7109375" bestFit="1" customWidth="1"/>
    <col min="13" max="13" width="11.140625" customWidth="1"/>
    <col min="14" max="14" width="10.85546875" customWidth="1"/>
    <col min="15" max="15" width="12.5703125" customWidth="1"/>
    <col min="16" max="16" width="13.7109375" customWidth="1"/>
    <col min="18" max="18" width="11.5703125" customWidth="1"/>
  </cols>
  <sheetData>
    <row r="1" spans="1:16" x14ac:dyDescent="0.25">
      <c r="A1" t="s">
        <v>75</v>
      </c>
      <c r="B1" t="s">
        <v>113</v>
      </c>
      <c r="C1" t="s">
        <v>70</v>
      </c>
      <c r="D1" t="s">
        <v>69</v>
      </c>
      <c r="E1" t="s">
        <v>36</v>
      </c>
      <c r="F1" t="s">
        <v>114</v>
      </c>
      <c r="G1" t="s">
        <v>115</v>
      </c>
    </row>
    <row r="2" spans="1:16" x14ac:dyDescent="0.25">
      <c r="A2" s="91">
        <v>45947</v>
      </c>
      <c r="B2" s="86" t="s">
        <v>187</v>
      </c>
      <c r="C2" s="11"/>
      <c r="D2" s="92">
        <f>[1]Cashbook!$N$5</f>
        <v>-1084090</v>
      </c>
      <c r="E2" s="86"/>
      <c r="F2" s="93" t="s">
        <v>111</v>
      </c>
    </row>
    <row r="3" spans="1:16" x14ac:dyDescent="0.25">
      <c r="A3" s="91">
        <v>45947</v>
      </c>
      <c r="B3" s="86" t="s">
        <v>187</v>
      </c>
      <c r="C3" s="11"/>
      <c r="D3" s="92">
        <f>[1]Cashbook!$N$6</f>
        <v>-545515</v>
      </c>
      <c r="E3" s="86"/>
      <c r="F3" s="93" t="s">
        <v>112</v>
      </c>
      <c r="J3" s="52" t="s">
        <v>45</v>
      </c>
      <c r="K3" s="40" t="s">
        <v>46</v>
      </c>
      <c r="M3" s="52" t="s">
        <v>45</v>
      </c>
      <c r="N3" s="55" t="s">
        <v>107</v>
      </c>
      <c r="O3" s="94" t="s">
        <v>108</v>
      </c>
      <c r="P3" t="s">
        <v>109</v>
      </c>
    </row>
    <row r="4" spans="1:16" x14ac:dyDescent="0.25">
      <c r="A4" s="113">
        <v>45948</v>
      </c>
      <c r="B4" t="s">
        <v>21</v>
      </c>
      <c r="C4" s="11"/>
      <c r="D4" s="11">
        <v>150000</v>
      </c>
      <c r="F4" s="114" t="s">
        <v>111</v>
      </c>
      <c r="J4" s="50" t="s">
        <v>70</v>
      </c>
      <c r="K4" s="51">
        <f>Table14[[#Totals],[Debit]]</f>
        <v>21425938</v>
      </c>
      <c r="M4" s="50" t="s">
        <v>110</v>
      </c>
      <c r="N4" s="56">
        <f>SUMIFS(Table14[Withdrawal],Table14[Party],"Cash",Table14[Mode],"Transfer")</f>
        <v>0</v>
      </c>
    </row>
    <row r="5" spans="1:16" x14ac:dyDescent="0.25">
      <c r="A5" s="113">
        <v>45948</v>
      </c>
      <c r="B5" t="s">
        <v>97</v>
      </c>
      <c r="C5" s="11">
        <v>76100</v>
      </c>
      <c r="D5" s="11"/>
      <c r="E5" t="s">
        <v>189</v>
      </c>
      <c r="F5" s="114" t="s">
        <v>111</v>
      </c>
      <c r="J5" s="50" t="s">
        <v>69</v>
      </c>
      <c r="K5" s="51">
        <f>Table14[[#Totals],[Credit]]</f>
        <v>21533290</v>
      </c>
      <c r="M5" s="50" t="s">
        <v>111</v>
      </c>
      <c r="N5" s="51">
        <f>(SUMIFS(Table14[Credit],Table14[Mode],"Bank")-SUMIFS(Table14[Debit],Table14[Mode],"Bank")-SUMIFS(Table14[Withdrawal],Table14[Mode],"Transfer"))</f>
        <v>692068</v>
      </c>
      <c r="O5">
        <v>360000</v>
      </c>
    </row>
    <row r="6" spans="1:16" x14ac:dyDescent="0.25">
      <c r="A6" s="113">
        <v>45948</v>
      </c>
      <c r="B6" t="s">
        <v>97</v>
      </c>
      <c r="C6" s="11">
        <v>44000</v>
      </c>
      <c r="D6" s="11"/>
      <c r="E6" t="s">
        <v>190</v>
      </c>
      <c r="F6" s="114" t="s">
        <v>111</v>
      </c>
      <c r="J6" s="57" t="s">
        <v>43</v>
      </c>
      <c r="K6" s="58">
        <f>(K5-K4)</f>
        <v>107352</v>
      </c>
      <c r="M6" s="50" t="s">
        <v>112</v>
      </c>
      <c r="N6" s="51">
        <f>((SUMIFS(Table14[Credit],Table14[Mode],"Cash")-SUMIFS(Table14[Debit],Table14[Mode],"Cash"))+SUMIFS(Table14[Withdrawal],Table14[Party],"Cash",Table14[Mode],"Transfer"))</f>
        <v>-584716</v>
      </c>
      <c r="O6">
        <v>50000</v>
      </c>
    </row>
    <row r="7" spans="1:16" x14ac:dyDescent="0.25">
      <c r="A7" s="113">
        <v>45948</v>
      </c>
      <c r="B7" t="s">
        <v>191</v>
      </c>
      <c r="C7" s="11">
        <v>10000</v>
      </c>
      <c r="D7" s="11"/>
      <c r="E7" t="s">
        <v>192</v>
      </c>
      <c r="F7" s="114" t="s">
        <v>111</v>
      </c>
      <c r="M7" s="53" t="s">
        <v>5</v>
      </c>
      <c r="N7" s="54">
        <f>SUM(N5:N6)</f>
        <v>107352</v>
      </c>
      <c r="O7" s="95">
        <f>SUM(O5,O6)</f>
        <v>410000</v>
      </c>
      <c r="P7" s="14">
        <f>Table18[[#Totals],[amount]]-Table18[[#Totals],[Actual]]</f>
        <v>-302648</v>
      </c>
    </row>
    <row r="8" spans="1:16" x14ac:dyDescent="0.25">
      <c r="A8" s="113">
        <v>45948</v>
      </c>
      <c r="B8" t="s">
        <v>54</v>
      </c>
      <c r="C8" s="11">
        <v>5330</v>
      </c>
      <c r="D8" s="11"/>
      <c r="E8" t="s">
        <v>193</v>
      </c>
      <c r="F8" s="114" t="s">
        <v>111</v>
      </c>
    </row>
    <row r="9" spans="1:16" x14ac:dyDescent="0.25">
      <c r="A9" s="113">
        <v>45948</v>
      </c>
      <c r="B9" t="s">
        <v>21</v>
      </c>
      <c r="C9" s="11"/>
      <c r="D9" s="11">
        <v>5330</v>
      </c>
      <c r="E9" t="s">
        <v>193</v>
      </c>
      <c r="F9" s="114" t="s">
        <v>111</v>
      </c>
    </row>
    <row r="10" spans="1:16" x14ac:dyDescent="0.25">
      <c r="A10" s="113">
        <v>45948</v>
      </c>
      <c r="B10" t="s">
        <v>194</v>
      </c>
      <c r="C10" s="11"/>
      <c r="D10" s="11">
        <v>4000</v>
      </c>
      <c r="F10" s="114" t="s">
        <v>111</v>
      </c>
    </row>
    <row r="11" spans="1:16" x14ac:dyDescent="0.25">
      <c r="A11" s="113">
        <v>45948</v>
      </c>
      <c r="B11" t="s">
        <v>174</v>
      </c>
      <c r="C11" s="115">
        <v>207475</v>
      </c>
      <c r="D11" s="115"/>
      <c r="E11" t="s">
        <v>195</v>
      </c>
      <c r="F11" s="114" t="s">
        <v>111</v>
      </c>
    </row>
    <row r="12" spans="1:16" x14ac:dyDescent="0.25">
      <c r="A12" s="113">
        <v>45948</v>
      </c>
      <c r="B12" t="s">
        <v>50</v>
      </c>
      <c r="C12" s="11">
        <v>420</v>
      </c>
      <c r="D12" s="11"/>
      <c r="F12" s="114" t="s">
        <v>112</v>
      </c>
    </row>
    <row r="13" spans="1:16" x14ac:dyDescent="0.25">
      <c r="A13" s="113">
        <v>45948</v>
      </c>
      <c r="B13" t="s">
        <v>21</v>
      </c>
      <c r="C13" s="11"/>
      <c r="D13" s="11">
        <v>200000</v>
      </c>
      <c r="F13" s="114" t="s">
        <v>111</v>
      </c>
    </row>
    <row r="14" spans="1:16" x14ac:dyDescent="0.25">
      <c r="A14" s="113">
        <v>45948</v>
      </c>
      <c r="B14" t="s">
        <v>52</v>
      </c>
      <c r="C14" s="11">
        <v>3750</v>
      </c>
      <c r="D14" s="11"/>
      <c r="E14" t="s">
        <v>196</v>
      </c>
      <c r="F14" s="114" t="s">
        <v>112</v>
      </c>
    </row>
    <row r="15" spans="1:16" x14ac:dyDescent="0.25">
      <c r="A15" s="113">
        <v>45948</v>
      </c>
      <c r="B15" t="s">
        <v>97</v>
      </c>
      <c r="C15" s="11">
        <v>17000</v>
      </c>
      <c r="D15" s="11"/>
      <c r="E15" t="s">
        <v>197</v>
      </c>
      <c r="F15" s="114" t="s">
        <v>112</v>
      </c>
    </row>
    <row r="16" spans="1:16" x14ac:dyDescent="0.25">
      <c r="A16" s="113">
        <v>45948</v>
      </c>
      <c r="B16" t="s">
        <v>174</v>
      </c>
      <c r="C16" s="115">
        <v>5000</v>
      </c>
      <c r="D16" s="115"/>
      <c r="E16" t="s">
        <v>197</v>
      </c>
      <c r="F16" s="114" t="s">
        <v>112</v>
      </c>
    </row>
    <row r="17" spans="1:6" x14ac:dyDescent="0.25">
      <c r="A17" s="113">
        <v>45948</v>
      </c>
      <c r="B17" t="s">
        <v>182</v>
      </c>
      <c r="C17" s="11">
        <v>1000</v>
      </c>
      <c r="D17" s="11"/>
      <c r="E17" t="s">
        <v>197</v>
      </c>
      <c r="F17" s="114" t="s">
        <v>112</v>
      </c>
    </row>
    <row r="18" spans="1:6" x14ac:dyDescent="0.25">
      <c r="A18" s="113">
        <v>45948</v>
      </c>
      <c r="B18" t="s">
        <v>50</v>
      </c>
      <c r="C18" s="11">
        <v>1000</v>
      </c>
      <c r="D18" s="11"/>
      <c r="E18" t="s">
        <v>197</v>
      </c>
      <c r="F18" s="114" t="s">
        <v>112</v>
      </c>
    </row>
    <row r="19" spans="1:6" x14ac:dyDescent="0.25">
      <c r="A19" s="113">
        <v>45948</v>
      </c>
      <c r="B19" t="s">
        <v>209</v>
      </c>
      <c r="C19" s="11"/>
      <c r="D19" s="11">
        <v>3000</v>
      </c>
      <c r="E19" t="s">
        <v>210</v>
      </c>
      <c r="F19" s="114" t="s">
        <v>112</v>
      </c>
    </row>
    <row r="20" spans="1:6" x14ac:dyDescent="0.25">
      <c r="A20" s="113">
        <v>45948</v>
      </c>
      <c r="B20" t="s">
        <v>198</v>
      </c>
      <c r="C20" s="11"/>
      <c r="D20" s="11">
        <v>415571</v>
      </c>
      <c r="E20" t="s">
        <v>199</v>
      </c>
      <c r="F20" s="114" t="s">
        <v>111</v>
      </c>
    </row>
    <row r="21" spans="1:6" x14ac:dyDescent="0.25">
      <c r="A21" s="113">
        <v>45948</v>
      </c>
      <c r="B21" t="s">
        <v>97</v>
      </c>
      <c r="C21" s="11">
        <v>300000</v>
      </c>
      <c r="D21" s="11"/>
      <c r="E21" t="s">
        <v>200</v>
      </c>
      <c r="F21" s="114" t="s">
        <v>111</v>
      </c>
    </row>
    <row r="22" spans="1:6" x14ac:dyDescent="0.25">
      <c r="A22" s="113">
        <v>45948</v>
      </c>
      <c r="B22" t="s">
        <v>201</v>
      </c>
      <c r="C22" s="11"/>
      <c r="D22" s="11">
        <v>590170</v>
      </c>
      <c r="F22" s="114" t="s">
        <v>111</v>
      </c>
    </row>
    <row r="23" spans="1:6" x14ac:dyDescent="0.25">
      <c r="A23" s="113">
        <v>45948</v>
      </c>
      <c r="B23" t="s">
        <v>118</v>
      </c>
      <c r="C23" s="11">
        <v>300000</v>
      </c>
      <c r="D23" s="11"/>
      <c r="E23" t="s">
        <v>21</v>
      </c>
      <c r="F23" s="114" t="s">
        <v>111</v>
      </c>
    </row>
    <row r="24" spans="1:6" x14ac:dyDescent="0.25">
      <c r="A24" s="113">
        <v>45948</v>
      </c>
      <c r="B24" t="s">
        <v>21</v>
      </c>
      <c r="C24" s="11"/>
      <c r="D24" s="11">
        <v>1370</v>
      </c>
      <c r="E24" t="s">
        <v>202</v>
      </c>
      <c r="F24" s="114" t="s">
        <v>111</v>
      </c>
    </row>
    <row r="25" spans="1:6" x14ac:dyDescent="0.25">
      <c r="A25" s="43">
        <v>45948</v>
      </c>
      <c r="B25" t="s">
        <v>55</v>
      </c>
      <c r="C25" s="115">
        <v>1370</v>
      </c>
      <c r="D25" s="115"/>
      <c r="E25" t="s">
        <v>202</v>
      </c>
      <c r="F25" s="114" t="s">
        <v>111</v>
      </c>
    </row>
    <row r="26" spans="1:6" x14ac:dyDescent="0.25">
      <c r="A26" s="113">
        <v>45948</v>
      </c>
      <c r="B26" t="s">
        <v>21</v>
      </c>
      <c r="C26" s="11"/>
      <c r="D26" s="11">
        <v>15000</v>
      </c>
      <c r="E26" t="s">
        <v>203</v>
      </c>
      <c r="F26" s="114" t="s">
        <v>111</v>
      </c>
    </row>
    <row r="27" spans="1:6" x14ac:dyDescent="0.25">
      <c r="A27" s="43">
        <v>45948</v>
      </c>
      <c r="B27" t="s">
        <v>55</v>
      </c>
      <c r="C27" s="115">
        <v>10000</v>
      </c>
      <c r="D27" s="115"/>
      <c r="E27" t="s">
        <v>204</v>
      </c>
      <c r="F27" s="114" t="s">
        <v>111</v>
      </c>
    </row>
    <row r="28" spans="1:6" x14ac:dyDescent="0.25">
      <c r="A28" s="43">
        <v>45948</v>
      </c>
      <c r="B28" t="s">
        <v>21</v>
      </c>
      <c r="C28" s="115"/>
      <c r="D28" s="115">
        <v>10000</v>
      </c>
      <c r="E28" t="s">
        <v>205</v>
      </c>
      <c r="F28" s="114" t="s">
        <v>111</v>
      </c>
    </row>
    <row r="29" spans="1:6" x14ac:dyDescent="0.25">
      <c r="A29" s="43">
        <v>45948</v>
      </c>
      <c r="B29" t="s">
        <v>55</v>
      </c>
      <c r="C29" s="115">
        <v>10000</v>
      </c>
      <c r="D29" s="115"/>
      <c r="E29" t="s">
        <v>205</v>
      </c>
      <c r="F29" s="114" t="s">
        <v>111</v>
      </c>
    </row>
    <row r="30" spans="1:6" x14ac:dyDescent="0.25">
      <c r="A30" s="113">
        <v>45948</v>
      </c>
      <c r="B30" t="s">
        <v>206</v>
      </c>
      <c r="C30" s="11">
        <v>162250</v>
      </c>
      <c r="D30" s="11"/>
      <c r="F30" s="114" t="s">
        <v>111</v>
      </c>
    </row>
    <row r="31" spans="1:6" x14ac:dyDescent="0.25">
      <c r="A31" s="43">
        <v>45948</v>
      </c>
      <c r="B31" t="s">
        <v>21</v>
      </c>
      <c r="C31" s="115"/>
      <c r="D31" s="115">
        <v>162250</v>
      </c>
      <c r="E31" t="s">
        <v>64</v>
      </c>
      <c r="F31" s="114" t="s">
        <v>111</v>
      </c>
    </row>
    <row r="32" spans="1:6" x14ac:dyDescent="0.25">
      <c r="A32" s="113">
        <v>45948</v>
      </c>
      <c r="B32" t="s">
        <v>21</v>
      </c>
      <c r="C32" s="11"/>
      <c r="D32" s="11">
        <v>23500</v>
      </c>
      <c r="E32" t="s">
        <v>211</v>
      </c>
      <c r="F32" s="114" t="s">
        <v>111</v>
      </c>
    </row>
    <row r="33" spans="1:6" x14ac:dyDescent="0.25">
      <c r="A33" s="43">
        <v>45948</v>
      </c>
      <c r="B33" t="s">
        <v>55</v>
      </c>
      <c r="C33" s="115">
        <v>23500</v>
      </c>
      <c r="D33" s="115"/>
      <c r="F33" s="114" t="s">
        <v>111</v>
      </c>
    </row>
    <row r="34" spans="1:6" x14ac:dyDescent="0.25">
      <c r="A34" s="113">
        <v>45948</v>
      </c>
      <c r="B34" t="s">
        <v>194</v>
      </c>
      <c r="C34" s="11">
        <v>1600</v>
      </c>
      <c r="D34" s="11"/>
      <c r="F34" s="114" t="s">
        <v>112</v>
      </c>
    </row>
    <row r="35" spans="1:6" x14ac:dyDescent="0.25">
      <c r="A35" s="113">
        <v>45948</v>
      </c>
      <c r="B35" t="s">
        <v>212</v>
      </c>
      <c r="C35" s="11">
        <v>100000</v>
      </c>
      <c r="D35" s="11"/>
      <c r="E35" t="s">
        <v>213</v>
      </c>
      <c r="F35" s="114" t="s">
        <v>111</v>
      </c>
    </row>
    <row r="36" spans="1:6" x14ac:dyDescent="0.25">
      <c r="A36" s="43">
        <v>45950</v>
      </c>
      <c r="B36" t="s">
        <v>214</v>
      </c>
      <c r="C36" s="115"/>
      <c r="D36" s="115">
        <v>54825</v>
      </c>
      <c r="E36" t="s">
        <v>215</v>
      </c>
      <c r="F36" s="114" t="s">
        <v>112</v>
      </c>
    </row>
    <row r="37" spans="1:6" x14ac:dyDescent="0.25">
      <c r="A37" s="43">
        <v>45950</v>
      </c>
      <c r="B37" t="s">
        <v>214</v>
      </c>
      <c r="C37" s="115">
        <f>33695+1500</f>
        <v>35195</v>
      </c>
      <c r="D37" s="115"/>
      <c r="E37" t="s">
        <v>216</v>
      </c>
      <c r="F37" s="114" t="s">
        <v>112</v>
      </c>
    </row>
    <row r="38" spans="1:6" x14ac:dyDescent="0.25">
      <c r="A38" s="43">
        <v>45950</v>
      </c>
      <c r="B38" t="s">
        <v>54</v>
      </c>
      <c r="C38" s="11">
        <v>1000</v>
      </c>
      <c r="D38" s="11"/>
      <c r="E38" t="s">
        <v>217</v>
      </c>
      <c r="F38" s="114" t="s">
        <v>111</v>
      </c>
    </row>
    <row r="39" spans="1:6" x14ac:dyDescent="0.25">
      <c r="A39" s="43">
        <v>45950</v>
      </c>
      <c r="B39" t="s">
        <v>97</v>
      </c>
      <c r="C39" s="11">
        <v>48800</v>
      </c>
      <c r="D39" s="11"/>
      <c r="E39" t="s">
        <v>218</v>
      </c>
      <c r="F39" s="114" t="s">
        <v>111</v>
      </c>
    </row>
    <row r="40" spans="1:6" x14ac:dyDescent="0.25">
      <c r="A40" s="43">
        <v>45950</v>
      </c>
      <c r="B40" t="s">
        <v>97</v>
      </c>
      <c r="C40" s="11">
        <v>51500</v>
      </c>
      <c r="D40" s="11"/>
      <c r="E40" t="s">
        <v>219</v>
      </c>
      <c r="F40" s="114" t="s">
        <v>111</v>
      </c>
    </row>
    <row r="41" spans="1:6" x14ac:dyDescent="0.25">
      <c r="A41" s="43">
        <v>45950</v>
      </c>
      <c r="B41" t="s">
        <v>212</v>
      </c>
      <c r="C41" s="11">
        <v>2600</v>
      </c>
      <c r="D41" s="11"/>
      <c r="E41" t="s">
        <v>220</v>
      </c>
      <c r="F41" s="114" t="s">
        <v>111</v>
      </c>
    </row>
    <row r="42" spans="1:6" x14ac:dyDescent="0.25">
      <c r="A42" s="43">
        <v>45950</v>
      </c>
      <c r="B42" t="s">
        <v>212</v>
      </c>
      <c r="C42" s="11">
        <v>6600</v>
      </c>
      <c r="D42" s="11"/>
      <c r="E42" t="s">
        <v>220</v>
      </c>
      <c r="F42" s="114" t="s">
        <v>111</v>
      </c>
    </row>
    <row r="43" spans="1:6" x14ac:dyDescent="0.25">
      <c r="A43" s="43">
        <v>45950</v>
      </c>
      <c r="B43" t="s">
        <v>52</v>
      </c>
      <c r="C43" s="11">
        <v>3500</v>
      </c>
      <c r="D43" s="11"/>
      <c r="E43" t="s">
        <v>221</v>
      </c>
      <c r="F43" s="114" t="s">
        <v>112</v>
      </c>
    </row>
    <row r="44" spans="1:6" x14ac:dyDescent="0.25">
      <c r="A44" s="43">
        <v>45950</v>
      </c>
      <c r="B44" t="s">
        <v>222</v>
      </c>
      <c r="C44" s="11">
        <v>2000</v>
      </c>
      <c r="D44" s="11"/>
      <c r="E44" t="s">
        <v>223</v>
      </c>
      <c r="F44" s="114" t="s">
        <v>112</v>
      </c>
    </row>
    <row r="45" spans="1:6" x14ac:dyDescent="0.25">
      <c r="A45" s="43">
        <v>45950</v>
      </c>
      <c r="B45" t="s">
        <v>212</v>
      </c>
      <c r="C45" s="11">
        <v>2700</v>
      </c>
      <c r="D45" s="11"/>
      <c r="E45" t="s">
        <v>224</v>
      </c>
      <c r="F45" s="114" t="s">
        <v>112</v>
      </c>
    </row>
    <row r="46" spans="1:6" x14ac:dyDescent="0.25">
      <c r="A46" s="43">
        <v>45950</v>
      </c>
      <c r="B46" t="s">
        <v>52</v>
      </c>
      <c r="C46" s="11">
        <v>6600</v>
      </c>
      <c r="D46" s="11"/>
      <c r="E46" t="s">
        <v>225</v>
      </c>
      <c r="F46" s="114" t="s">
        <v>111</v>
      </c>
    </row>
    <row r="47" spans="1:6" x14ac:dyDescent="0.25">
      <c r="A47" s="43">
        <v>45950</v>
      </c>
      <c r="B47" t="s">
        <v>212</v>
      </c>
      <c r="C47" s="11">
        <v>13500</v>
      </c>
      <c r="D47" s="11"/>
      <c r="E47" t="s">
        <v>226</v>
      </c>
      <c r="F47" s="114" t="s">
        <v>111</v>
      </c>
    </row>
    <row r="48" spans="1:6" x14ac:dyDescent="0.25">
      <c r="A48" s="43">
        <v>45950</v>
      </c>
      <c r="B48" t="s">
        <v>50</v>
      </c>
      <c r="C48" s="11">
        <f>4500+720</f>
        <v>5220</v>
      </c>
      <c r="D48" s="11"/>
      <c r="E48" t="s">
        <v>230</v>
      </c>
      <c r="F48" s="114" t="s">
        <v>111</v>
      </c>
    </row>
    <row r="49" spans="1:6" x14ac:dyDescent="0.25">
      <c r="A49" s="43">
        <v>45951</v>
      </c>
      <c r="B49" t="s">
        <v>54</v>
      </c>
      <c r="C49" s="11">
        <v>5311</v>
      </c>
      <c r="D49" s="11"/>
      <c r="E49" t="s">
        <v>231</v>
      </c>
      <c r="F49" s="114" t="s">
        <v>111</v>
      </c>
    </row>
    <row r="50" spans="1:6" x14ac:dyDescent="0.25">
      <c r="A50" s="43">
        <v>45951</v>
      </c>
      <c r="B50" t="s">
        <v>55</v>
      </c>
      <c r="C50" s="11">
        <v>10000</v>
      </c>
      <c r="D50" s="11"/>
      <c r="E50" t="s">
        <v>232</v>
      </c>
      <c r="F50" s="114" t="s">
        <v>111</v>
      </c>
    </row>
    <row r="51" spans="1:6" x14ac:dyDescent="0.25">
      <c r="A51" s="43">
        <v>45951</v>
      </c>
      <c r="B51" t="s">
        <v>55</v>
      </c>
      <c r="C51" s="11">
        <v>700</v>
      </c>
      <c r="D51" s="11"/>
      <c r="E51" t="s">
        <v>233</v>
      </c>
      <c r="F51" s="114" t="s">
        <v>111</v>
      </c>
    </row>
    <row r="52" spans="1:6" x14ac:dyDescent="0.25">
      <c r="A52" s="43">
        <v>45951</v>
      </c>
      <c r="B52" t="s">
        <v>55</v>
      </c>
      <c r="C52" s="11">
        <v>4100</v>
      </c>
      <c r="D52" s="11"/>
      <c r="E52" t="s">
        <v>234</v>
      </c>
      <c r="F52" s="114" t="s">
        <v>111</v>
      </c>
    </row>
    <row r="53" spans="1:6" x14ac:dyDescent="0.25">
      <c r="A53" s="43">
        <v>45951</v>
      </c>
      <c r="B53" t="s">
        <v>50</v>
      </c>
      <c r="C53" s="11">
        <v>450</v>
      </c>
      <c r="D53" s="11"/>
      <c r="E53" t="s">
        <v>235</v>
      </c>
      <c r="F53" s="114" t="s">
        <v>111</v>
      </c>
    </row>
    <row r="54" spans="1:6" x14ac:dyDescent="0.25">
      <c r="A54" s="43">
        <v>45951</v>
      </c>
      <c r="B54" t="s">
        <v>97</v>
      </c>
      <c r="C54" s="11">
        <v>303200</v>
      </c>
      <c r="D54" s="11"/>
      <c r="E54" t="s">
        <v>236</v>
      </c>
      <c r="F54" s="114" t="s">
        <v>111</v>
      </c>
    </row>
    <row r="55" spans="1:6" x14ac:dyDescent="0.25">
      <c r="A55" s="43">
        <v>45951</v>
      </c>
      <c r="B55" t="s">
        <v>21</v>
      </c>
      <c r="C55" s="11"/>
      <c r="D55" s="11">
        <v>180000</v>
      </c>
      <c r="E55" t="s">
        <v>237</v>
      </c>
      <c r="F55" s="114" t="s">
        <v>111</v>
      </c>
    </row>
    <row r="56" spans="1:6" x14ac:dyDescent="0.25">
      <c r="A56" s="43">
        <v>45951</v>
      </c>
      <c r="B56" t="s">
        <v>21</v>
      </c>
      <c r="C56" s="11"/>
      <c r="D56" s="11">
        <v>12000</v>
      </c>
      <c r="E56" t="s">
        <v>238</v>
      </c>
      <c r="F56" s="114" t="s">
        <v>111</v>
      </c>
    </row>
    <row r="57" spans="1:6" x14ac:dyDescent="0.25">
      <c r="A57" s="43">
        <v>45951</v>
      </c>
      <c r="B57" t="s">
        <v>64</v>
      </c>
      <c r="C57" s="11">
        <v>12000</v>
      </c>
      <c r="D57" s="11"/>
      <c r="E57" t="s">
        <v>238</v>
      </c>
      <c r="F57" s="114" t="s">
        <v>111</v>
      </c>
    </row>
    <row r="58" spans="1:6" x14ac:dyDescent="0.25">
      <c r="A58" s="43">
        <v>45951</v>
      </c>
      <c r="B58" t="s">
        <v>97</v>
      </c>
      <c r="C58" s="11">
        <v>100000</v>
      </c>
      <c r="D58" s="11"/>
      <c r="E58" t="s">
        <v>243</v>
      </c>
      <c r="F58" s="114" t="s">
        <v>111</v>
      </c>
    </row>
    <row r="59" spans="1:6" x14ac:dyDescent="0.25">
      <c r="A59" s="43">
        <v>45951</v>
      </c>
      <c r="B59" t="s">
        <v>21</v>
      </c>
      <c r="C59" s="11"/>
      <c r="D59" s="11">
        <v>100000</v>
      </c>
      <c r="F59" s="114" t="s">
        <v>111</v>
      </c>
    </row>
    <row r="60" spans="1:6" x14ac:dyDescent="0.25">
      <c r="A60" s="43">
        <v>45951</v>
      </c>
      <c r="B60" t="s">
        <v>201</v>
      </c>
      <c r="C60" s="11"/>
      <c r="D60" s="11">
        <v>62000</v>
      </c>
      <c r="E60" t="s">
        <v>239</v>
      </c>
      <c r="F60" s="114" t="s">
        <v>112</v>
      </c>
    </row>
    <row r="61" spans="1:6" x14ac:dyDescent="0.25">
      <c r="A61" s="43">
        <v>45951</v>
      </c>
      <c r="B61" t="s">
        <v>212</v>
      </c>
      <c r="C61" s="11">
        <v>6000</v>
      </c>
      <c r="D61" s="11"/>
      <c r="E61" t="s">
        <v>240</v>
      </c>
      <c r="F61" s="114" t="s">
        <v>112</v>
      </c>
    </row>
    <row r="62" spans="1:6" x14ac:dyDescent="0.25">
      <c r="A62" s="43">
        <v>45951</v>
      </c>
      <c r="B62" t="s">
        <v>52</v>
      </c>
      <c r="C62" s="11">
        <v>13900</v>
      </c>
      <c r="D62" s="11"/>
      <c r="E62" t="s">
        <v>241</v>
      </c>
      <c r="F62" s="114" t="s">
        <v>111</v>
      </c>
    </row>
    <row r="63" spans="1:6" x14ac:dyDescent="0.25">
      <c r="A63" s="43">
        <v>45951</v>
      </c>
      <c r="B63" t="s">
        <v>55</v>
      </c>
      <c r="C63" s="11">
        <v>6000</v>
      </c>
      <c r="D63" s="11"/>
      <c r="E63" t="s">
        <v>242</v>
      </c>
      <c r="F63" s="114" t="s">
        <v>111</v>
      </c>
    </row>
    <row r="64" spans="1:6" x14ac:dyDescent="0.25">
      <c r="A64" s="43">
        <v>45951</v>
      </c>
      <c r="B64" t="s">
        <v>21</v>
      </c>
      <c r="C64" s="115"/>
      <c r="D64" s="115">
        <v>6000</v>
      </c>
      <c r="E64" t="s">
        <v>242</v>
      </c>
      <c r="F64" s="114" t="s">
        <v>111</v>
      </c>
    </row>
    <row r="65" spans="1:6" x14ac:dyDescent="0.25">
      <c r="A65" s="43">
        <v>45951</v>
      </c>
      <c r="B65" t="s">
        <v>244</v>
      </c>
      <c r="C65" s="11">
        <v>2503038</v>
      </c>
      <c r="D65" s="11"/>
      <c r="E65" t="s">
        <v>245</v>
      </c>
      <c r="F65" s="114" t="s">
        <v>111</v>
      </c>
    </row>
    <row r="66" spans="1:6" x14ac:dyDescent="0.25">
      <c r="A66" s="43">
        <v>45951</v>
      </c>
      <c r="B66" t="s">
        <v>21</v>
      </c>
      <c r="C66" s="11"/>
      <c r="D66" s="11">
        <v>2503038</v>
      </c>
      <c r="E66" t="s">
        <v>245</v>
      </c>
      <c r="F66" s="114" t="s">
        <v>111</v>
      </c>
    </row>
    <row r="67" spans="1:6" x14ac:dyDescent="0.25">
      <c r="A67" s="43">
        <v>45951</v>
      </c>
      <c r="B67" t="s">
        <v>212</v>
      </c>
      <c r="C67" s="11">
        <v>1500</v>
      </c>
      <c r="D67" s="11"/>
      <c r="E67" t="s">
        <v>246</v>
      </c>
      <c r="F67" s="114" t="s">
        <v>111</v>
      </c>
    </row>
    <row r="68" spans="1:6" x14ac:dyDescent="0.25">
      <c r="A68" s="43">
        <v>45950</v>
      </c>
      <c r="B68" t="s">
        <v>194</v>
      </c>
      <c r="C68" s="11">
        <v>1100</v>
      </c>
      <c r="D68" s="11"/>
      <c r="E68" t="s">
        <v>247</v>
      </c>
      <c r="F68" s="114" t="s">
        <v>111</v>
      </c>
    </row>
    <row r="69" spans="1:6" x14ac:dyDescent="0.25">
      <c r="A69" s="43">
        <v>45951</v>
      </c>
      <c r="B69" t="s">
        <v>54</v>
      </c>
      <c r="C69" s="11">
        <v>1000</v>
      </c>
      <c r="D69" s="11"/>
      <c r="E69" t="s">
        <v>248</v>
      </c>
      <c r="F69" s="114" t="s">
        <v>111</v>
      </c>
    </row>
    <row r="70" spans="1:6" x14ac:dyDescent="0.25">
      <c r="A70" s="43">
        <v>45952</v>
      </c>
      <c r="B70" t="s">
        <v>9</v>
      </c>
      <c r="C70" s="11"/>
      <c r="D70" s="11">
        <v>200000</v>
      </c>
      <c r="E70" t="s">
        <v>250</v>
      </c>
      <c r="F70" s="114" t="s">
        <v>111</v>
      </c>
    </row>
    <row r="71" spans="1:6" x14ac:dyDescent="0.25">
      <c r="A71" s="43">
        <v>45952</v>
      </c>
      <c r="B71" t="s">
        <v>50</v>
      </c>
      <c r="C71" s="11">
        <v>1000</v>
      </c>
      <c r="D71" s="11"/>
      <c r="E71" t="s">
        <v>251</v>
      </c>
      <c r="F71" s="114" t="s">
        <v>111</v>
      </c>
    </row>
    <row r="72" spans="1:6" x14ac:dyDescent="0.25">
      <c r="A72" s="43">
        <v>45952</v>
      </c>
      <c r="B72" t="s">
        <v>212</v>
      </c>
      <c r="C72" s="11">
        <v>5900</v>
      </c>
      <c r="D72" s="11"/>
      <c r="E72" t="s">
        <v>252</v>
      </c>
      <c r="F72" s="114" t="s">
        <v>111</v>
      </c>
    </row>
    <row r="73" spans="1:6" x14ac:dyDescent="0.25">
      <c r="A73" s="43">
        <v>45952</v>
      </c>
      <c r="B73" t="s">
        <v>191</v>
      </c>
      <c r="C73" s="11">
        <v>1000</v>
      </c>
      <c r="D73" s="11"/>
      <c r="E73" t="s">
        <v>253</v>
      </c>
      <c r="F73" s="114" t="s">
        <v>111</v>
      </c>
    </row>
    <row r="74" spans="1:6" x14ac:dyDescent="0.25">
      <c r="A74" s="43">
        <v>45952</v>
      </c>
      <c r="B74" t="s">
        <v>55</v>
      </c>
      <c r="C74" s="11">
        <v>25000</v>
      </c>
      <c r="D74" s="11"/>
      <c r="E74" t="s">
        <v>232</v>
      </c>
      <c r="F74" s="114" t="s">
        <v>111</v>
      </c>
    </row>
    <row r="75" spans="1:6" x14ac:dyDescent="0.25">
      <c r="A75" s="43">
        <v>45952</v>
      </c>
      <c r="B75" t="s">
        <v>52</v>
      </c>
      <c r="C75" s="11">
        <v>3000</v>
      </c>
      <c r="D75" s="11"/>
      <c r="E75" t="s">
        <v>254</v>
      </c>
      <c r="F75" s="114" t="s">
        <v>112</v>
      </c>
    </row>
    <row r="76" spans="1:6" x14ac:dyDescent="0.25">
      <c r="A76" s="43">
        <v>45952</v>
      </c>
      <c r="B76" t="s">
        <v>50</v>
      </c>
      <c r="C76" s="11">
        <v>800</v>
      </c>
      <c r="D76" s="11"/>
      <c r="E76" t="s">
        <v>255</v>
      </c>
      <c r="F76" s="114" t="s">
        <v>111</v>
      </c>
    </row>
    <row r="77" spans="1:6" x14ac:dyDescent="0.25">
      <c r="A77" s="43">
        <v>45952</v>
      </c>
      <c r="B77" t="s">
        <v>9</v>
      </c>
      <c r="C77" s="115"/>
      <c r="D77" s="115">
        <v>100000</v>
      </c>
      <c r="E77" t="s">
        <v>250</v>
      </c>
      <c r="F77" s="114" t="s">
        <v>111</v>
      </c>
    </row>
    <row r="78" spans="1:6" x14ac:dyDescent="0.25">
      <c r="A78" s="43">
        <v>45952</v>
      </c>
      <c r="B78" t="s">
        <v>9</v>
      </c>
      <c r="C78" s="11"/>
      <c r="D78" s="11">
        <v>150000</v>
      </c>
      <c r="E78" t="s">
        <v>250</v>
      </c>
      <c r="F78" s="114" t="s">
        <v>111</v>
      </c>
    </row>
    <row r="79" spans="1:6" x14ac:dyDescent="0.25">
      <c r="A79" s="43">
        <v>45952</v>
      </c>
      <c r="B79" t="s">
        <v>97</v>
      </c>
      <c r="C79" s="11">
        <v>150000</v>
      </c>
      <c r="D79" s="11"/>
      <c r="E79" t="s">
        <v>250</v>
      </c>
      <c r="F79" s="114" t="s">
        <v>111</v>
      </c>
    </row>
    <row r="80" spans="1:6" x14ac:dyDescent="0.25">
      <c r="A80" s="43">
        <v>45952</v>
      </c>
      <c r="B80" t="s">
        <v>174</v>
      </c>
      <c r="C80" s="11">
        <v>244675</v>
      </c>
      <c r="D80" s="11"/>
      <c r="E80" t="s">
        <v>250</v>
      </c>
      <c r="F80" s="114" t="s">
        <v>111</v>
      </c>
    </row>
    <row r="81" spans="1:6" x14ac:dyDescent="0.25">
      <c r="A81" s="43">
        <v>45952</v>
      </c>
      <c r="B81" t="s">
        <v>55</v>
      </c>
      <c r="C81" s="11">
        <v>3310</v>
      </c>
      <c r="D81" s="11"/>
      <c r="E81" t="s">
        <v>256</v>
      </c>
      <c r="F81" s="114" t="s">
        <v>111</v>
      </c>
    </row>
    <row r="82" spans="1:6" x14ac:dyDescent="0.25">
      <c r="A82" s="43">
        <v>45952</v>
      </c>
      <c r="B82" t="s">
        <v>21</v>
      </c>
      <c r="C82" s="11"/>
      <c r="D82" s="11">
        <v>1600</v>
      </c>
      <c r="E82" t="s">
        <v>257</v>
      </c>
      <c r="F82" s="114" t="s">
        <v>111</v>
      </c>
    </row>
    <row r="83" spans="1:6" x14ac:dyDescent="0.25">
      <c r="A83" s="113">
        <v>45952</v>
      </c>
      <c r="B83" t="s">
        <v>212</v>
      </c>
      <c r="C83" s="11">
        <v>3000</v>
      </c>
      <c r="D83" s="11"/>
      <c r="E83" t="s">
        <v>265</v>
      </c>
      <c r="F83" s="114" t="s">
        <v>112</v>
      </c>
    </row>
    <row r="84" spans="1:6" x14ac:dyDescent="0.25">
      <c r="A84" s="43">
        <v>45952</v>
      </c>
      <c r="B84" t="s">
        <v>54</v>
      </c>
      <c r="C84" s="11">
        <v>1600</v>
      </c>
      <c r="D84" s="11"/>
      <c r="E84" t="s">
        <v>257</v>
      </c>
      <c r="F84" s="114" t="s">
        <v>111</v>
      </c>
    </row>
    <row r="85" spans="1:6" x14ac:dyDescent="0.25">
      <c r="A85" s="43">
        <v>45953</v>
      </c>
      <c r="B85" t="s">
        <v>97</v>
      </c>
      <c r="C85" s="11">
        <v>45250</v>
      </c>
      <c r="D85" s="11"/>
      <c r="E85" t="s">
        <v>258</v>
      </c>
      <c r="F85" s="114" t="s">
        <v>111</v>
      </c>
    </row>
    <row r="86" spans="1:6" x14ac:dyDescent="0.25">
      <c r="A86" s="43">
        <v>45953</v>
      </c>
      <c r="B86" t="s">
        <v>54</v>
      </c>
      <c r="C86" s="11">
        <v>1000</v>
      </c>
      <c r="D86" s="11"/>
      <c r="E86" t="s">
        <v>248</v>
      </c>
      <c r="F86" s="114" t="s">
        <v>112</v>
      </c>
    </row>
    <row r="87" spans="1:6" x14ac:dyDescent="0.25">
      <c r="A87" s="43">
        <v>45953</v>
      </c>
      <c r="B87" t="s">
        <v>9</v>
      </c>
      <c r="C87" s="11"/>
      <c r="D87" s="11">
        <v>160934</v>
      </c>
      <c r="E87" t="s">
        <v>250</v>
      </c>
      <c r="F87" s="114" t="s">
        <v>111</v>
      </c>
    </row>
    <row r="88" spans="1:6" x14ac:dyDescent="0.25">
      <c r="A88" s="43">
        <v>45953</v>
      </c>
      <c r="B88" t="s">
        <v>9</v>
      </c>
      <c r="C88" s="11"/>
      <c r="D88" s="11">
        <v>176300</v>
      </c>
      <c r="E88" t="s">
        <v>259</v>
      </c>
      <c r="F88" s="114" t="s">
        <v>111</v>
      </c>
    </row>
    <row r="89" spans="1:6" x14ac:dyDescent="0.25">
      <c r="A89" s="43">
        <v>45953</v>
      </c>
      <c r="B89" t="s">
        <v>222</v>
      </c>
      <c r="C89" s="11">
        <v>25000</v>
      </c>
      <c r="D89" s="11"/>
      <c r="E89" t="s">
        <v>223</v>
      </c>
      <c r="F89" s="114" t="s">
        <v>112</v>
      </c>
    </row>
    <row r="90" spans="1:6" x14ac:dyDescent="0.25">
      <c r="A90" s="43">
        <v>45953</v>
      </c>
      <c r="B90" t="s">
        <v>191</v>
      </c>
      <c r="C90" s="11">
        <v>5000</v>
      </c>
      <c r="D90" s="11"/>
      <c r="E90" t="s">
        <v>260</v>
      </c>
      <c r="F90" s="114" t="s">
        <v>112</v>
      </c>
    </row>
    <row r="91" spans="1:6" x14ac:dyDescent="0.25">
      <c r="A91" s="43">
        <v>45953</v>
      </c>
      <c r="B91" t="s">
        <v>116</v>
      </c>
      <c r="C91" s="11">
        <v>18245</v>
      </c>
      <c r="D91" s="11"/>
      <c r="E91" t="s">
        <v>261</v>
      </c>
      <c r="F91" s="114" t="s">
        <v>111</v>
      </c>
    </row>
    <row r="92" spans="1:6" x14ac:dyDescent="0.25">
      <c r="A92" s="43">
        <v>45953</v>
      </c>
      <c r="B92" t="s">
        <v>55</v>
      </c>
      <c r="C92" s="11">
        <v>7450</v>
      </c>
      <c r="D92" s="11"/>
      <c r="E92" t="s">
        <v>262</v>
      </c>
      <c r="F92" s="114" t="s">
        <v>111</v>
      </c>
    </row>
    <row r="93" spans="1:6" x14ac:dyDescent="0.25">
      <c r="A93" s="43">
        <v>45953</v>
      </c>
      <c r="B93" t="s">
        <v>55</v>
      </c>
      <c r="C93" s="11">
        <v>2100</v>
      </c>
      <c r="D93" s="11"/>
      <c r="E93" t="s">
        <v>263</v>
      </c>
      <c r="F93" s="114" t="s">
        <v>111</v>
      </c>
    </row>
    <row r="94" spans="1:6" x14ac:dyDescent="0.25">
      <c r="A94" s="43">
        <v>45953</v>
      </c>
      <c r="B94" t="s">
        <v>97</v>
      </c>
      <c r="C94" s="11">
        <v>250000</v>
      </c>
      <c r="D94" s="11"/>
      <c r="E94" t="s">
        <v>264</v>
      </c>
      <c r="F94" s="114" t="s">
        <v>111</v>
      </c>
    </row>
    <row r="95" spans="1:6" x14ac:dyDescent="0.25">
      <c r="A95" s="43">
        <v>45953</v>
      </c>
      <c r="B95" t="s">
        <v>212</v>
      </c>
      <c r="C95" s="11">
        <v>3500</v>
      </c>
      <c r="D95" s="11"/>
      <c r="E95" t="s">
        <v>265</v>
      </c>
      <c r="F95" s="114" t="s">
        <v>112</v>
      </c>
    </row>
    <row r="96" spans="1:6" x14ac:dyDescent="0.25">
      <c r="A96" s="43">
        <v>45953</v>
      </c>
      <c r="B96" t="s">
        <v>209</v>
      </c>
      <c r="C96" s="11">
        <v>5000</v>
      </c>
      <c r="D96" s="11"/>
      <c r="E96" t="s">
        <v>266</v>
      </c>
      <c r="F96" s="114" t="s">
        <v>112</v>
      </c>
    </row>
    <row r="97" spans="1:6" x14ac:dyDescent="0.25">
      <c r="A97" s="43">
        <v>45953</v>
      </c>
      <c r="B97" t="s">
        <v>50</v>
      </c>
      <c r="C97" s="11">
        <v>300</v>
      </c>
      <c r="D97" s="11"/>
      <c r="E97" t="s">
        <v>267</v>
      </c>
      <c r="F97" s="114" t="s">
        <v>111</v>
      </c>
    </row>
    <row r="98" spans="1:6" x14ac:dyDescent="0.25">
      <c r="A98" s="43">
        <v>45954</v>
      </c>
      <c r="B98" t="s">
        <v>54</v>
      </c>
      <c r="C98" s="11">
        <v>5311</v>
      </c>
      <c r="D98" s="11"/>
      <c r="E98" t="s">
        <v>231</v>
      </c>
      <c r="F98" s="114" t="s">
        <v>112</v>
      </c>
    </row>
    <row r="99" spans="1:6" x14ac:dyDescent="0.25">
      <c r="A99" s="43">
        <v>45954</v>
      </c>
      <c r="B99" t="s">
        <v>54</v>
      </c>
      <c r="C99" s="11">
        <v>1800</v>
      </c>
      <c r="D99" s="11"/>
      <c r="E99" t="s">
        <v>268</v>
      </c>
      <c r="F99" s="114" t="s">
        <v>111</v>
      </c>
    </row>
    <row r="100" spans="1:6" x14ac:dyDescent="0.25">
      <c r="A100" s="43">
        <v>45954</v>
      </c>
      <c r="B100" t="s">
        <v>55</v>
      </c>
      <c r="C100" s="11">
        <v>30000</v>
      </c>
      <c r="D100" s="11"/>
      <c r="E100" t="s">
        <v>269</v>
      </c>
      <c r="F100" s="114" t="s">
        <v>111</v>
      </c>
    </row>
    <row r="101" spans="1:6" x14ac:dyDescent="0.25">
      <c r="A101" s="43">
        <v>45954</v>
      </c>
      <c r="B101" t="s">
        <v>21</v>
      </c>
      <c r="C101" s="11"/>
      <c r="D101" s="11">
        <v>30000</v>
      </c>
      <c r="E101" t="s">
        <v>269</v>
      </c>
      <c r="F101" s="114" t="s">
        <v>111</v>
      </c>
    </row>
    <row r="102" spans="1:6" x14ac:dyDescent="0.25">
      <c r="A102" s="43">
        <v>45954</v>
      </c>
      <c r="B102" t="s">
        <v>52</v>
      </c>
      <c r="C102" s="11"/>
      <c r="D102" s="11"/>
      <c r="E102" t="s">
        <v>270</v>
      </c>
      <c r="F102" s="114" t="s">
        <v>111</v>
      </c>
    </row>
    <row r="103" spans="1:6" x14ac:dyDescent="0.25">
      <c r="A103" s="43">
        <v>45954</v>
      </c>
      <c r="B103" t="s">
        <v>55</v>
      </c>
      <c r="C103" s="11">
        <v>6600</v>
      </c>
      <c r="D103" s="11"/>
      <c r="E103" t="s">
        <v>271</v>
      </c>
      <c r="F103" s="114" t="s">
        <v>111</v>
      </c>
    </row>
    <row r="104" spans="1:6" x14ac:dyDescent="0.25">
      <c r="A104" s="43">
        <v>45954</v>
      </c>
      <c r="B104" t="s">
        <v>55</v>
      </c>
      <c r="C104" s="11">
        <v>3500</v>
      </c>
      <c r="D104" s="11"/>
      <c r="E104" t="s">
        <v>272</v>
      </c>
      <c r="F104" s="114" t="s">
        <v>111</v>
      </c>
    </row>
    <row r="105" spans="1:6" x14ac:dyDescent="0.25">
      <c r="A105" s="43">
        <v>45954</v>
      </c>
      <c r="B105" t="s">
        <v>55</v>
      </c>
      <c r="C105" s="11">
        <v>800</v>
      </c>
      <c r="D105" s="11"/>
      <c r="E105" t="s">
        <v>273</v>
      </c>
      <c r="F105" s="114" t="s">
        <v>111</v>
      </c>
    </row>
    <row r="106" spans="1:6" x14ac:dyDescent="0.25">
      <c r="A106" s="43">
        <v>45954</v>
      </c>
      <c r="B106" t="s">
        <v>55</v>
      </c>
      <c r="C106" s="11">
        <v>1000</v>
      </c>
      <c r="D106" s="11"/>
      <c r="E106" t="s">
        <v>274</v>
      </c>
      <c r="F106" s="114" t="s">
        <v>111</v>
      </c>
    </row>
    <row r="107" spans="1:6" x14ac:dyDescent="0.25">
      <c r="A107" s="43">
        <v>45954</v>
      </c>
      <c r="B107" t="s">
        <v>21</v>
      </c>
      <c r="C107" s="11"/>
      <c r="D107" s="11">
        <v>10500</v>
      </c>
      <c r="F107" s="114" t="s">
        <v>111</v>
      </c>
    </row>
    <row r="108" spans="1:6" x14ac:dyDescent="0.25">
      <c r="A108" s="43">
        <v>45954</v>
      </c>
      <c r="B108" t="s">
        <v>55</v>
      </c>
      <c r="C108" s="11">
        <v>10500</v>
      </c>
      <c r="D108" s="11"/>
      <c r="E108" t="s">
        <v>275</v>
      </c>
      <c r="F108" s="114" t="s">
        <v>111</v>
      </c>
    </row>
    <row r="109" spans="1:6" x14ac:dyDescent="0.25">
      <c r="A109" s="43">
        <v>45954</v>
      </c>
      <c r="B109" t="s">
        <v>227</v>
      </c>
      <c r="C109" s="11"/>
      <c r="D109" s="11">
        <v>98000</v>
      </c>
      <c r="E109" t="s">
        <v>276</v>
      </c>
      <c r="F109" s="114" t="s">
        <v>111</v>
      </c>
    </row>
    <row r="110" spans="1:6" x14ac:dyDescent="0.25">
      <c r="A110" s="43">
        <v>45954</v>
      </c>
      <c r="B110" t="s">
        <v>277</v>
      </c>
      <c r="C110" s="11">
        <v>250000</v>
      </c>
      <c r="D110" s="11"/>
      <c r="E110" t="s">
        <v>278</v>
      </c>
      <c r="F110" s="114" t="s">
        <v>111</v>
      </c>
    </row>
    <row r="111" spans="1:6" x14ac:dyDescent="0.25">
      <c r="A111" s="43">
        <v>45954</v>
      </c>
      <c r="B111" t="s">
        <v>21</v>
      </c>
      <c r="C111" s="115"/>
      <c r="D111" s="115">
        <v>250000</v>
      </c>
      <c r="E111" t="s">
        <v>279</v>
      </c>
      <c r="F111" s="114" t="s">
        <v>111</v>
      </c>
    </row>
    <row r="112" spans="1:6" x14ac:dyDescent="0.25">
      <c r="A112" s="43">
        <v>45954</v>
      </c>
      <c r="B112" t="s">
        <v>97</v>
      </c>
      <c r="C112" s="115">
        <v>52060</v>
      </c>
      <c r="D112" s="115"/>
      <c r="E112" t="s">
        <v>280</v>
      </c>
      <c r="F112" s="114" t="s">
        <v>111</v>
      </c>
    </row>
    <row r="113" spans="1:6" x14ac:dyDescent="0.25">
      <c r="A113" s="43">
        <v>45954</v>
      </c>
      <c r="B113" t="s">
        <v>21</v>
      </c>
      <c r="C113" s="115"/>
      <c r="D113" s="115">
        <v>200000</v>
      </c>
      <c r="E113" t="s">
        <v>250</v>
      </c>
      <c r="F113" s="114" t="s">
        <v>111</v>
      </c>
    </row>
    <row r="114" spans="1:6" x14ac:dyDescent="0.25">
      <c r="A114" s="43">
        <v>45954</v>
      </c>
      <c r="B114" t="s">
        <v>97</v>
      </c>
      <c r="C114" s="11">
        <v>200000</v>
      </c>
      <c r="D114" s="11"/>
      <c r="E114" t="s">
        <v>250</v>
      </c>
      <c r="F114" s="114" t="s">
        <v>111</v>
      </c>
    </row>
    <row r="115" spans="1:6" x14ac:dyDescent="0.25">
      <c r="A115" s="43">
        <v>45955</v>
      </c>
      <c r="B115" t="s">
        <v>194</v>
      </c>
      <c r="C115" s="11">
        <v>600</v>
      </c>
      <c r="D115" s="11"/>
      <c r="F115" s="114" t="s">
        <v>111</v>
      </c>
    </row>
    <row r="116" spans="1:6" x14ac:dyDescent="0.25">
      <c r="A116" s="43">
        <v>45955</v>
      </c>
      <c r="B116" t="s">
        <v>50</v>
      </c>
      <c r="C116" s="11">
        <v>1420</v>
      </c>
      <c r="D116" s="11"/>
      <c r="F116" s="114" t="s">
        <v>112</v>
      </c>
    </row>
    <row r="117" spans="1:6" x14ac:dyDescent="0.25">
      <c r="A117" s="43">
        <v>45955</v>
      </c>
      <c r="B117" t="s">
        <v>97</v>
      </c>
      <c r="C117" s="11">
        <v>50000</v>
      </c>
      <c r="D117" s="11"/>
      <c r="E117" t="s">
        <v>281</v>
      </c>
      <c r="F117" s="114" t="s">
        <v>111</v>
      </c>
    </row>
    <row r="118" spans="1:6" x14ac:dyDescent="0.25">
      <c r="A118" s="43">
        <v>45955</v>
      </c>
      <c r="C118" s="11"/>
      <c r="D118" s="11"/>
      <c r="F118" s="114"/>
    </row>
    <row r="119" spans="1:6" x14ac:dyDescent="0.25">
      <c r="A119" s="43">
        <v>45955</v>
      </c>
      <c r="B119" t="s">
        <v>21</v>
      </c>
      <c r="C119" s="11"/>
      <c r="D119" s="11">
        <v>100000</v>
      </c>
      <c r="E119" t="s">
        <v>282</v>
      </c>
      <c r="F119" s="114" t="s">
        <v>111</v>
      </c>
    </row>
    <row r="120" spans="1:6" x14ac:dyDescent="0.25">
      <c r="A120" s="43">
        <v>45955</v>
      </c>
      <c r="B120" t="s">
        <v>116</v>
      </c>
      <c r="C120" s="11">
        <v>20000</v>
      </c>
      <c r="D120" s="11"/>
      <c r="E120" t="s">
        <v>283</v>
      </c>
      <c r="F120" s="114" t="s">
        <v>111</v>
      </c>
    </row>
    <row r="121" spans="1:6" x14ac:dyDescent="0.25">
      <c r="A121" s="43">
        <v>45955</v>
      </c>
      <c r="B121" t="s">
        <v>35</v>
      </c>
      <c r="C121" s="11"/>
      <c r="D121" s="11">
        <v>179000</v>
      </c>
      <c r="F121" s="114" t="s">
        <v>111</v>
      </c>
    </row>
    <row r="122" spans="1:6" x14ac:dyDescent="0.25">
      <c r="A122" s="43">
        <v>45955</v>
      </c>
      <c r="B122" t="s">
        <v>97</v>
      </c>
      <c r="C122" s="11">
        <v>72900</v>
      </c>
      <c r="D122" s="11"/>
      <c r="E122" t="s">
        <v>284</v>
      </c>
      <c r="F122" s="114" t="s">
        <v>111</v>
      </c>
    </row>
    <row r="123" spans="1:6" x14ac:dyDescent="0.25">
      <c r="A123" s="43">
        <v>45955</v>
      </c>
      <c r="B123" t="s">
        <v>222</v>
      </c>
      <c r="C123" s="11">
        <v>15000</v>
      </c>
      <c r="D123" s="11"/>
      <c r="E123" t="s">
        <v>223</v>
      </c>
      <c r="F123" s="114" t="s">
        <v>111</v>
      </c>
    </row>
    <row r="124" spans="1:6" x14ac:dyDescent="0.25">
      <c r="A124" s="43">
        <v>45955</v>
      </c>
      <c r="B124" t="s">
        <v>152</v>
      </c>
      <c r="C124" s="11">
        <v>100000</v>
      </c>
      <c r="D124" s="11"/>
      <c r="E124" t="s">
        <v>285</v>
      </c>
      <c r="F124" s="114" t="s">
        <v>111</v>
      </c>
    </row>
    <row r="125" spans="1:6" x14ac:dyDescent="0.25">
      <c r="A125" s="43">
        <v>45955</v>
      </c>
      <c r="B125" t="s">
        <v>212</v>
      </c>
      <c r="C125" s="11">
        <v>5600</v>
      </c>
      <c r="D125" s="11"/>
      <c r="E125" t="s">
        <v>220</v>
      </c>
      <c r="F125" s="114" t="s">
        <v>112</v>
      </c>
    </row>
    <row r="126" spans="1:6" x14ac:dyDescent="0.25">
      <c r="A126" s="43">
        <v>45955</v>
      </c>
      <c r="B126" t="s">
        <v>50</v>
      </c>
      <c r="C126" s="11">
        <v>420</v>
      </c>
      <c r="D126" s="11"/>
      <c r="E126" t="s">
        <v>286</v>
      </c>
      <c r="F126" s="114" t="s">
        <v>112</v>
      </c>
    </row>
    <row r="127" spans="1:6" x14ac:dyDescent="0.25">
      <c r="A127" s="43">
        <v>45955</v>
      </c>
      <c r="B127" t="s">
        <v>52</v>
      </c>
      <c r="C127" s="11"/>
      <c r="D127" s="11"/>
      <c r="E127" t="s">
        <v>225</v>
      </c>
      <c r="F127" s="114" t="s">
        <v>112</v>
      </c>
    </row>
    <row r="128" spans="1:6" x14ac:dyDescent="0.25">
      <c r="A128" s="43">
        <v>45955</v>
      </c>
      <c r="B128" t="s">
        <v>180</v>
      </c>
      <c r="C128" s="115"/>
      <c r="D128" s="115">
        <v>400000</v>
      </c>
      <c r="F128" s="114" t="s">
        <v>111</v>
      </c>
    </row>
    <row r="129" spans="1:6" x14ac:dyDescent="0.25">
      <c r="A129" s="43">
        <v>45955</v>
      </c>
      <c r="B129" t="s">
        <v>118</v>
      </c>
      <c r="C129" s="11">
        <v>100000</v>
      </c>
      <c r="D129" s="11"/>
      <c r="F129" s="114" t="s">
        <v>111</v>
      </c>
    </row>
    <row r="130" spans="1:6" x14ac:dyDescent="0.25">
      <c r="A130" s="43">
        <v>45955</v>
      </c>
      <c r="B130" t="s">
        <v>97</v>
      </c>
      <c r="C130" s="11">
        <v>204021</v>
      </c>
      <c r="D130" s="11"/>
      <c r="E130" t="s">
        <v>287</v>
      </c>
      <c r="F130" s="114" t="s">
        <v>111</v>
      </c>
    </row>
    <row r="131" spans="1:6" x14ac:dyDescent="0.25">
      <c r="A131" s="43">
        <v>45955</v>
      </c>
      <c r="B131" t="s">
        <v>55</v>
      </c>
      <c r="C131" s="11">
        <v>20000</v>
      </c>
      <c r="D131" s="11"/>
      <c r="E131" t="s">
        <v>288</v>
      </c>
      <c r="F131" s="114" t="s">
        <v>111</v>
      </c>
    </row>
    <row r="132" spans="1:6" x14ac:dyDescent="0.25">
      <c r="A132" s="43">
        <v>45956</v>
      </c>
      <c r="B132" t="s">
        <v>201</v>
      </c>
      <c r="C132" s="11"/>
      <c r="D132" s="11">
        <v>414511</v>
      </c>
      <c r="F132" s="114" t="s">
        <v>111</v>
      </c>
    </row>
    <row r="133" spans="1:6" x14ac:dyDescent="0.25">
      <c r="A133" s="43">
        <v>45956</v>
      </c>
      <c r="B133" t="s">
        <v>97</v>
      </c>
      <c r="C133" s="11">
        <v>53700</v>
      </c>
      <c r="D133" s="11"/>
      <c r="E133" t="s">
        <v>291</v>
      </c>
      <c r="F133" s="114" t="s">
        <v>111</v>
      </c>
    </row>
    <row r="134" spans="1:6" x14ac:dyDescent="0.25">
      <c r="A134" s="43">
        <v>45956</v>
      </c>
      <c r="B134" t="s">
        <v>97</v>
      </c>
      <c r="C134" s="11">
        <v>76850</v>
      </c>
      <c r="D134" s="11"/>
      <c r="E134" t="s">
        <v>189</v>
      </c>
      <c r="F134" s="114" t="s">
        <v>111</v>
      </c>
    </row>
    <row r="135" spans="1:6" x14ac:dyDescent="0.25">
      <c r="A135" s="43">
        <v>45956</v>
      </c>
      <c r="B135" t="s">
        <v>50</v>
      </c>
      <c r="C135" s="11">
        <v>2600</v>
      </c>
      <c r="D135" s="11"/>
      <c r="E135" t="s">
        <v>292</v>
      </c>
      <c r="F135" s="114" t="s">
        <v>111</v>
      </c>
    </row>
    <row r="136" spans="1:6" x14ac:dyDescent="0.25">
      <c r="A136" s="43">
        <v>45956</v>
      </c>
      <c r="B136" t="s">
        <v>52</v>
      </c>
      <c r="C136" s="11"/>
      <c r="D136" s="11"/>
      <c r="E136" t="s">
        <v>293</v>
      </c>
      <c r="F136" s="114" t="s">
        <v>111</v>
      </c>
    </row>
    <row r="137" spans="1:6" x14ac:dyDescent="0.25">
      <c r="A137" s="43">
        <v>45956</v>
      </c>
      <c r="B137" t="s">
        <v>55</v>
      </c>
      <c r="C137" s="11">
        <v>20000</v>
      </c>
      <c r="D137" s="11"/>
      <c r="E137" t="s">
        <v>288</v>
      </c>
      <c r="F137" s="114" t="s">
        <v>111</v>
      </c>
    </row>
    <row r="138" spans="1:6" x14ac:dyDescent="0.25">
      <c r="A138" s="43">
        <v>45956</v>
      </c>
      <c r="B138" t="s">
        <v>294</v>
      </c>
      <c r="C138" s="11">
        <v>80000</v>
      </c>
      <c r="D138" s="11"/>
      <c r="E138" t="s">
        <v>295</v>
      </c>
      <c r="F138" s="114" t="s">
        <v>111</v>
      </c>
    </row>
    <row r="139" spans="1:6" x14ac:dyDescent="0.25">
      <c r="A139" s="43">
        <v>45956</v>
      </c>
      <c r="B139" t="s">
        <v>296</v>
      </c>
      <c r="C139" s="11"/>
      <c r="D139" s="11">
        <v>300000</v>
      </c>
      <c r="E139" t="s">
        <v>297</v>
      </c>
      <c r="F139" s="114" t="s">
        <v>111</v>
      </c>
    </row>
    <row r="140" spans="1:6" x14ac:dyDescent="0.25">
      <c r="A140" s="43">
        <v>45956</v>
      </c>
      <c r="B140" t="s">
        <v>294</v>
      </c>
      <c r="C140" s="11">
        <v>300000</v>
      </c>
      <c r="D140" s="11"/>
      <c r="E140" t="s">
        <v>298</v>
      </c>
      <c r="F140" s="114" t="s">
        <v>111</v>
      </c>
    </row>
    <row r="141" spans="1:6" x14ac:dyDescent="0.25">
      <c r="A141" s="43">
        <v>45957</v>
      </c>
      <c r="B141" t="s">
        <v>52</v>
      </c>
      <c r="C141" s="11"/>
      <c r="D141" s="11"/>
      <c r="E141" t="s">
        <v>299</v>
      </c>
      <c r="F141" s="114" t="s">
        <v>111</v>
      </c>
    </row>
    <row r="142" spans="1:6" x14ac:dyDescent="0.25">
      <c r="A142" s="43">
        <v>45957</v>
      </c>
      <c r="B142" t="s">
        <v>52</v>
      </c>
      <c r="C142" s="11"/>
      <c r="D142" s="11"/>
      <c r="E142" t="s">
        <v>192</v>
      </c>
      <c r="F142" s="114" t="s">
        <v>111</v>
      </c>
    </row>
    <row r="143" spans="1:6" x14ac:dyDescent="0.25">
      <c r="A143" s="43">
        <v>45957</v>
      </c>
      <c r="B143" t="s">
        <v>97</v>
      </c>
      <c r="C143" s="11">
        <v>45335</v>
      </c>
      <c r="D143" s="11"/>
      <c r="E143" t="s">
        <v>300</v>
      </c>
      <c r="F143" s="114" t="s">
        <v>111</v>
      </c>
    </row>
    <row r="144" spans="1:6" x14ac:dyDescent="0.25">
      <c r="A144" s="43">
        <v>45957</v>
      </c>
      <c r="B144" t="s">
        <v>120</v>
      </c>
      <c r="C144" s="11">
        <v>353250</v>
      </c>
      <c r="D144" s="11"/>
      <c r="E144" t="s">
        <v>301</v>
      </c>
      <c r="F144" s="114" t="s">
        <v>111</v>
      </c>
    </row>
    <row r="145" spans="1:6" x14ac:dyDescent="0.25">
      <c r="A145" s="43">
        <v>45957</v>
      </c>
      <c r="B145" t="s">
        <v>302</v>
      </c>
      <c r="C145" s="11"/>
      <c r="D145" s="11">
        <v>256200</v>
      </c>
      <c r="E145" t="s">
        <v>303</v>
      </c>
      <c r="F145" s="114" t="s">
        <v>111</v>
      </c>
    </row>
    <row r="146" spans="1:6" x14ac:dyDescent="0.25">
      <c r="A146" s="43">
        <v>45957</v>
      </c>
      <c r="B146" t="s">
        <v>304</v>
      </c>
      <c r="C146" s="11"/>
      <c r="D146" s="11">
        <v>95000</v>
      </c>
      <c r="F146" s="114" t="s">
        <v>111</v>
      </c>
    </row>
    <row r="147" spans="1:6" x14ac:dyDescent="0.25">
      <c r="A147" s="43">
        <v>45957</v>
      </c>
      <c r="B147" t="s">
        <v>212</v>
      </c>
      <c r="C147" s="11"/>
      <c r="D147" s="11">
        <v>2050</v>
      </c>
      <c r="E147" t="s">
        <v>305</v>
      </c>
      <c r="F147" s="114" t="s">
        <v>111</v>
      </c>
    </row>
    <row r="148" spans="1:6" x14ac:dyDescent="0.25">
      <c r="A148" s="43">
        <v>45956</v>
      </c>
      <c r="B148" t="s">
        <v>212</v>
      </c>
      <c r="C148" s="11">
        <v>3000</v>
      </c>
      <c r="D148" s="11"/>
      <c r="E148" t="s">
        <v>306</v>
      </c>
      <c r="F148" s="114" t="s">
        <v>111</v>
      </c>
    </row>
    <row r="149" spans="1:6" x14ac:dyDescent="0.25">
      <c r="A149" s="43">
        <v>45957</v>
      </c>
      <c r="B149" t="s">
        <v>55</v>
      </c>
      <c r="C149" s="11">
        <v>3300</v>
      </c>
      <c r="D149" s="11"/>
      <c r="F149" s="114" t="s">
        <v>111</v>
      </c>
    </row>
    <row r="150" spans="1:6" x14ac:dyDescent="0.25">
      <c r="A150" s="43">
        <v>45957</v>
      </c>
      <c r="B150" t="s">
        <v>55</v>
      </c>
      <c r="C150" s="11">
        <v>13750</v>
      </c>
      <c r="D150" s="11"/>
      <c r="F150" s="114" t="s">
        <v>111</v>
      </c>
    </row>
    <row r="151" spans="1:6" x14ac:dyDescent="0.25">
      <c r="A151" s="43">
        <v>45957</v>
      </c>
      <c r="B151" t="s">
        <v>55</v>
      </c>
      <c r="C151" s="11">
        <v>5500</v>
      </c>
      <c r="D151" s="11"/>
      <c r="F151" s="114" t="s">
        <v>111</v>
      </c>
    </row>
    <row r="152" spans="1:6" x14ac:dyDescent="0.25">
      <c r="A152" s="43">
        <v>45957</v>
      </c>
      <c r="B152" t="s">
        <v>52</v>
      </c>
      <c r="C152" s="115"/>
      <c r="D152" s="115"/>
      <c r="E152" t="s">
        <v>270</v>
      </c>
      <c r="F152" s="114" t="s">
        <v>111</v>
      </c>
    </row>
    <row r="153" spans="1:6" x14ac:dyDescent="0.25">
      <c r="A153" s="43">
        <v>45957</v>
      </c>
      <c r="B153" t="s">
        <v>194</v>
      </c>
      <c r="C153" s="115">
        <v>500</v>
      </c>
      <c r="D153" s="115"/>
      <c r="F153" s="114" t="s">
        <v>112</v>
      </c>
    </row>
    <row r="154" spans="1:6" x14ac:dyDescent="0.25">
      <c r="A154" s="113">
        <v>45958</v>
      </c>
      <c r="B154" t="s">
        <v>24</v>
      </c>
      <c r="C154" s="11"/>
      <c r="D154" s="11">
        <v>1000000</v>
      </c>
      <c r="E154" t="s">
        <v>307</v>
      </c>
      <c r="F154" s="114" t="s">
        <v>111</v>
      </c>
    </row>
    <row r="155" spans="1:6" x14ac:dyDescent="0.25">
      <c r="A155" s="113">
        <v>45958</v>
      </c>
      <c r="B155" t="s">
        <v>97</v>
      </c>
      <c r="C155" s="11">
        <v>350000</v>
      </c>
      <c r="D155" s="11"/>
      <c r="E155" t="s">
        <v>308</v>
      </c>
      <c r="F155" s="114" t="s">
        <v>111</v>
      </c>
    </row>
    <row r="156" spans="1:6" x14ac:dyDescent="0.25">
      <c r="A156" s="113">
        <v>45958</v>
      </c>
      <c r="B156" t="s">
        <v>97</v>
      </c>
      <c r="C156" s="11">
        <v>49850</v>
      </c>
      <c r="D156" s="11"/>
      <c r="E156" t="s">
        <v>219</v>
      </c>
      <c r="F156" s="114" t="s">
        <v>111</v>
      </c>
    </row>
    <row r="157" spans="1:6" x14ac:dyDescent="0.25">
      <c r="A157" s="113">
        <v>45958</v>
      </c>
      <c r="B157" t="s">
        <v>54</v>
      </c>
      <c r="C157" s="11">
        <v>2000</v>
      </c>
      <c r="D157" s="11"/>
      <c r="E157" t="s">
        <v>309</v>
      </c>
      <c r="F157" s="114" t="s">
        <v>111</v>
      </c>
    </row>
    <row r="158" spans="1:6" x14ac:dyDescent="0.25">
      <c r="A158" s="113">
        <v>45958</v>
      </c>
      <c r="B158" t="s">
        <v>55</v>
      </c>
      <c r="C158" s="11">
        <v>1200</v>
      </c>
      <c r="D158" s="11"/>
      <c r="E158" t="s">
        <v>310</v>
      </c>
      <c r="F158" s="114" t="s">
        <v>111</v>
      </c>
    </row>
    <row r="159" spans="1:6" x14ac:dyDescent="0.25">
      <c r="A159" s="113">
        <v>45958</v>
      </c>
      <c r="B159" t="s">
        <v>50</v>
      </c>
      <c r="C159" s="115">
        <v>180</v>
      </c>
      <c r="D159" s="115"/>
      <c r="E159" t="s">
        <v>311</v>
      </c>
      <c r="F159" s="114" t="s">
        <v>111</v>
      </c>
    </row>
    <row r="160" spans="1:6" x14ac:dyDescent="0.25">
      <c r="A160" s="113">
        <v>45958</v>
      </c>
      <c r="B160" t="s">
        <v>191</v>
      </c>
      <c r="C160" s="11">
        <v>10000</v>
      </c>
      <c r="D160" s="11"/>
      <c r="E160" t="s">
        <v>312</v>
      </c>
      <c r="F160" s="114" t="s">
        <v>111</v>
      </c>
    </row>
    <row r="161" spans="1:12" x14ac:dyDescent="0.25">
      <c r="A161" s="113">
        <v>45958</v>
      </c>
      <c r="B161" t="s">
        <v>170</v>
      </c>
      <c r="C161" s="115"/>
      <c r="D161" s="115">
        <v>140000</v>
      </c>
      <c r="F161" s="114" t="s">
        <v>111</v>
      </c>
    </row>
    <row r="162" spans="1:12" x14ac:dyDescent="0.25">
      <c r="A162" s="113">
        <v>45958</v>
      </c>
      <c r="B162" t="s">
        <v>52</v>
      </c>
      <c r="C162" s="11"/>
      <c r="D162" s="11"/>
      <c r="E162" t="s">
        <v>270</v>
      </c>
      <c r="F162" s="114" t="s">
        <v>111</v>
      </c>
    </row>
    <row r="163" spans="1:12" x14ac:dyDescent="0.25">
      <c r="A163" s="113">
        <v>45958</v>
      </c>
      <c r="B163" t="s">
        <v>191</v>
      </c>
      <c r="C163" s="11">
        <v>1500</v>
      </c>
      <c r="D163" s="11"/>
      <c r="E163" t="s">
        <v>317</v>
      </c>
      <c r="F163" s="114" t="s">
        <v>111</v>
      </c>
      <c r="J163" s="3" t="s">
        <v>6</v>
      </c>
      <c r="K163" t="s">
        <v>121</v>
      </c>
      <c r="L163" t="s">
        <v>122</v>
      </c>
    </row>
    <row r="164" spans="1:12" x14ac:dyDescent="0.25">
      <c r="A164" s="113">
        <v>45959</v>
      </c>
      <c r="B164" t="s">
        <v>54</v>
      </c>
      <c r="C164" s="11">
        <v>5303</v>
      </c>
      <c r="D164" s="11"/>
      <c r="E164" t="s">
        <v>231</v>
      </c>
      <c r="F164" s="114" t="s">
        <v>111</v>
      </c>
      <c r="J164" s="4" t="s">
        <v>191</v>
      </c>
      <c r="K164" s="14"/>
      <c r="L164" s="14">
        <v>122000</v>
      </c>
    </row>
    <row r="165" spans="1:12" x14ac:dyDescent="0.25">
      <c r="A165" s="113">
        <v>45959</v>
      </c>
      <c r="B165" t="s">
        <v>54</v>
      </c>
      <c r="C165" s="11">
        <v>1000</v>
      </c>
      <c r="D165" s="11"/>
      <c r="E165" t="s">
        <v>318</v>
      </c>
      <c r="F165" s="114" t="s">
        <v>111</v>
      </c>
      <c r="J165" s="4" t="s">
        <v>9</v>
      </c>
      <c r="K165" s="14">
        <v>1796234</v>
      </c>
      <c r="L165" s="14"/>
    </row>
    <row r="166" spans="1:12" x14ac:dyDescent="0.25">
      <c r="A166" s="113">
        <v>45959</v>
      </c>
      <c r="B166" t="s">
        <v>55</v>
      </c>
      <c r="C166" s="11">
        <v>2700</v>
      </c>
      <c r="D166" s="11"/>
      <c r="E166" t="s">
        <v>319</v>
      </c>
      <c r="F166" s="114" t="s">
        <v>111</v>
      </c>
      <c r="J166" s="4" t="s">
        <v>21</v>
      </c>
      <c r="K166" s="14">
        <v>5557023</v>
      </c>
      <c r="L166" s="14"/>
    </row>
    <row r="167" spans="1:12" x14ac:dyDescent="0.25">
      <c r="A167" s="113">
        <v>45959</v>
      </c>
      <c r="B167" t="s">
        <v>54</v>
      </c>
      <c r="C167" s="11">
        <v>1000</v>
      </c>
      <c r="D167" s="11"/>
      <c r="E167" t="s">
        <v>248</v>
      </c>
      <c r="F167" s="114" t="s">
        <v>112</v>
      </c>
      <c r="J167" s="4" t="s">
        <v>120</v>
      </c>
      <c r="K167" s="14"/>
      <c r="L167" s="14">
        <v>569850</v>
      </c>
    </row>
    <row r="168" spans="1:12" x14ac:dyDescent="0.25">
      <c r="A168" s="113">
        <v>45959</v>
      </c>
      <c r="B168" t="s">
        <v>55</v>
      </c>
      <c r="C168" s="11">
        <v>2340</v>
      </c>
      <c r="D168" s="11"/>
      <c r="F168" s="114" t="s">
        <v>111</v>
      </c>
      <c r="J168" s="4" t="s">
        <v>97</v>
      </c>
      <c r="K168" s="14"/>
      <c r="L168" s="14">
        <v>6271603</v>
      </c>
    </row>
    <row r="169" spans="1:12" x14ac:dyDescent="0.25">
      <c r="A169" s="113">
        <v>45959</v>
      </c>
      <c r="B169" t="s">
        <v>97</v>
      </c>
      <c r="C169" s="11">
        <v>48850</v>
      </c>
      <c r="D169" s="11"/>
      <c r="E169" t="s">
        <v>322</v>
      </c>
      <c r="F169" s="114" t="s">
        <v>111</v>
      </c>
      <c r="J169" s="4" t="s">
        <v>50</v>
      </c>
      <c r="K169" s="14"/>
      <c r="L169" s="14">
        <v>41020</v>
      </c>
    </row>
    <row r="170" spans="1:12" x14ac:dyDescent="0.25">
      <c r="A170" s="113">
        <v>45959</v>
      </c>
      <c r="B170" t="s">
        <v>97</v>
      </c>
      <c r="C170" s="11">
        <v>35000</v>
      </c>
      <c r="D170" s="11"/>
      <c r="E170" t="s">
        <v>321</v>
      </c>
      <c r="F170" s="114" t="s">
        <v>111</v>
      </c>
      <c r="J170" s="4" t="s">
        <v>55</v>
      </c>
      <c r="K170" s="14"/>
      <c r="L170" s="14">
        <v>492982</v>
      </c>
    </row>
    <row r="171" spans="1:12" x14ac:dyDescent="0.25">
      <c r="A171" s="113">
        <v>45959</v>
      </c>
      <c r="B171" t="s">
        <v>212</v>
      </c>
      <c r="C171" s="11">
        <v>2640</v>
      </c>
      <c r="D171" s="11"/>
      <c r="E171" t="s">
        <v>323</v>
      </c>
      <c r="F171" s="114" t="s">
        <v>111</v>
      </c>
      <c r="J171" s="4" t="s">
        <v>116</v>
      </c>
      <c r="K171" s="14"/>
      <c r="L171" s="14">
        <v>165070</v>
      </c>
    </row>
    <row r="172" spans="1:12" x14ac:dyDescent="0.25">
      <c r="A172" s="113">
        <v>45959</v>
      </c>
      <c r="B172" t="s">
        <v>212</v>
      </c>
      <c r="C172" s="11">
        <v>1000</v>
      </c>
      <c r="D172" s="11"/>
      <c r="E172" t="s">
        <v>324</v>
      </c>
      <c r="F172" s="114" t="s">
        <v>111</v>
      </c>
      <c r="J172" s="4" t="s">
        <v>52</v>
      </c>
      <c r="K172" s="14"/>
      <c r="L172" s="14">
        <v>1240870</v>
      </c>
    </row>
    <row r="173" spans="1:12" x14ac:dyDescent="0.25">
      <c r="A173" s="113">
        <v>45959</v>
      </c>
      <c r="B173" t="s">
        <v>50</v>
      </c>
      <c r="C173" s="11">
        <v>1000</v>
      </c>
      <c r="D173" s="11"/>
      <c r="E173" t="s">
        <v>325</v>
      </c>
      <c r="F173" s="114" t="s">
        <v>111</v>
      </c>
      <c r="J173" s="4" t="s">
        <v>54</v>
      </c>
      <c r="K173" s="14"/>
      <c r="L173" s="14">
        <v>116561</v>
      </c>
    </row>
    <row r="174" spans="1:12" x14ac:dyDescent="0.25">
      <c r="A174" s="113">
        <v>45959</v>
      </c>
      <c r="B174" t="s">
        <v>170</v>
      </c>
      <c r="C174" s="11"/>
      <c r="D174" s="11">
        <v>160000</v>
      </c>
      <c r="F174" s="114" t="s">
        <v>111</v>
      </c>
      <c r="J174" s="4" t="s">
        <v>119</v>
      </c>
      <c r="K174" s="14"/>
      <c r="L174" s="14">
        <v>220000</v>
      </c>
    </row>
    <row r="175" spans="1:12" x14ac:dyDescent="0.25">
      <c r="A175" s="113">
        <v>45959</v>
      </c>
      <c r="B175" t="s">
        <v>24</v>
      </c>
      <c r="C175" s="11"/>
      <c r="D175" s="11">
        <v>500000</v>
      </c>
      <c r="E175" t="s">
        <v>326</v>
      </c>
      <c r="F175" s="114" t="s">
        <v>111</v>
      </c>
      <c r="J175" s="4" t="s">
        <v>212</v>
      </c>
      <c r="K175" s="14">
        <v>22050</v>
      </c>
      <c r="L175" s="14">
        <v>368130</v>
      </c>
    </row>
    <row r="176" spans="1:12" x14ac:dyDescent="0.25">
      <c r="A176" s="113">
        <v>45959</v>
      </c>
      <c r="B176" t="s">
        <v>294</v>
      </c>
      <c r="C176" s="11">
        <v>169000</v>
      </c>
      <c r="D176" s="11"/>
      <c r="E176" t="s">
        <v>327</v>
      </c>
      <c r="F176" s="114" t="s">
        <v>111</v>
      </c>
      <c r="J176" s="4" t="s">
        <v>209</v>
      </c>
      <c r="K176" s="14">
        <v>3000</v>
      </c>
      <c r="L176" s="14">
        <v>5000</v>
      </c>
    </row>
    <row r="177" spans="1:12" x14ac:dyDescent="0.25">
      <c r="A177" s="113">
        <v>45959</v>
      </c>
      <c r="B177" t="s">
        <v>170</v>
      </c>
      <c r="C177" s="11"/>
      <c r="D177" s="11">
        <v>200000</v>
      </c>
      <c r="E177" t="s">
        <v>328</v>
      </c>
      <c r="F177" s="114" t="s">
        <v>111</v>
      </c>
      <c r="J177" s="4" t="s">
        <v>194</v>
      </c>
      <c r="K177" s="14">
        <v>122244</v>
      </c>
      <c r="L177" s="14">
        <v>8800</v>
      </c>
    </row>
    <row r="178" spans="1:12" x14ac:dyDescent="0.25">
      <c r="A178" s="43">
        <v>45959</v>
      </c>
      <c r="B178" t="s">
        <v>294</v>
      </c>
      <c r="C178" s="115">
        <v>200000</v>
      </c>
      <c r="D178" s="115"/>
      <c r="E178" t="s">
        <v>330</v>
      </c>
      <c r="F178" s="114" t="s">
        <v>111</v>
      </c>
      <c r="J178" s="4" t="s">
        <v>22</v>
      </c>
      <c r="K178" s="14">
        <v>2304000</v>
      </c>
      <c r="L178" s="14"/>
    </row>
    <row r="179" spans="1:12" x14ac:dyDescent="0.25">
      <c r="A179" s="113">
        <v>45960</v>
      </c>
      <c r="B179" t="s">
        <v>212</v>
      </c>
      <c r="C179" s="11">
        <v>1000</v>
      </c>
      <c r="D179" s="11"/>
      <c r="E179" t="s">
        <v>331</v>
      </c>
      <c r="F179" s="114" t="s">
        <v>112</v>
      </c>
      <c r="J179" s="4" t="s">
        <v>106</v>
      </c>
      <c r="K179" s="14"/>
      <c r="L179" s="14"/>
    </row>
    <row r="180" spans="1:12" x14ac:dyDescent="0.25">
      <c r="A180" s="113">
        <v>45960</v>
      </c>
      <c r="B180" t="s">
        <v>50</v>
      </c>
      <c r="C180" s="11">
        <v>500</v>
      </c>
      <c r="D180" s="11"/>
      <c r="E180" t="s">
        <v>332</v>
      </c>
      <c r="F180" s="114" t="s">
        <v>112</v>
      </c>
      <c r="J180" s="4" t="s">
        <v>201</v>
      </c>
      <c r="K180" s="14">
        <v>1793544</v>
      </c>
      <c r="L180" s="14"/>
    </row>
    <row r="181" spans="1:12" x14ac:dyDescent="0.25">
      <c r="A181" s="113">
        <v>45960</v>
      </c>
      <c r="B181" t="s">
        <v>50</v>
      </c>
      <c r="C181" s="11">
        <v>420</v>
      </c>
      <c r="D181" s="11"/>
      <c r="E181" t="s">
        <v>286</v>
      </c>
      <c r="F181" s="114" t="s">
        <v>112</v>
      </c>
      <c r="J181" s="4" t="s">
        <v>24</v>
      </c>
      <c r="K181" s="14">
        <v>2000000</v>
      </c>
      <c r="L181" s="14"/>
    </row>
    <row r="182" spans="1:12" x14ac:dyDescent="0.25">
      <c r="A182" s="113">
        <v>45960</v>
      </c>
      <c r="B182" t="s">
        <v>9</v>
      </c>
      <c r="C182" s="11"/>
      <c r="D182" s="11">
        <v>300000</v>
      </c>
      <c r="E182" t="s">
        <v>333</v>
      </c>
      <c r="F182" s="114" t="s">
        <v>111</v>
      </c>
      <c r="J182" s="4" t="s">
        <v>27</v>
      </c>
      <c r="K182" s="14">
        <v>800000</v>
      </c>
      <c r="L182" s="14"/>
    </row>
    <row r="183" spans="1:12" x14ac:dyDescent="0.25">
      <c r="A183" s="113">
        <v>45960</v>
      </c>
      <c r="B183" t="s">
        <v>97</v>
      </c>
      <c r="C183" s="11">
        <v>300000</v>
      </c>
      <c r="D183" s="11"/>
      <c r="E183" t="s">
        <v>333</v>
      </c>
      <c r="F183" s="114" t="s">
        <v>111</v>
      </c>
      <c r="J183" s="4" t="s">
        <v>118</v>
      </c>
      <c r="K183" s="14"/>
      <c r="L183" s="14">
        <v>400000</v>
      </c>
    </row>
    <row r="184" spans="1:12" x14ac:dyDescent="0.25">
      <c r="A184" s="113">
        <v>45960</v>
      </c>
      <c r="B184" t="s">
        <v>54</v>
      </c>
      <c r="C184" s="11">
        <v>1000</v>
      </c>
      <c r="D184" s="11"/>
      <c r="E184" t="s">
        <v>248</v>
      </c>
      <c r="F184" s="114" t="s">
        <v>112</v>
      </c>
      <c r="J184" s="4" t="s">
        <v>35</v>
      </c>
      <c r="K184" s="14">
        <v>179000</v>
      </c>
      <c r="L184" s="14"/>
    </row>
    <row r="185" spans="1:12" x14ac:dyDescent="0.25">
      <c r="A185" s="113">
        <v>45960</v>
      </c>
      <c r="B185" t="s">
        <v>52</v>
      </c>
      <c r="C185" s="11"/>
      <c r="D185" s="11"/>
      <c r="E185" t="s">
        <v>334</v>
      </c>
      <c r="F185" s="114"/>
      <c r="J185" s="4" t="s">
        <v>26</v>
      </c>
      <c r="K185" s="14">
        <v>300000</v>
      </c>
      <c r="L185" s="14"/>
    </row>
    <row r="186" spans="1:12" x14ac:dyDescent="0.25">
      <c r="A186" s="113">
        <v>45960</v>
      </c>
      <c r="B186" t="s">
        <v>55</v>
      </c>
      <c r="C186" s="11">
        <v>890</v>
      </c>
      <c r="D186" s="11"/>
      <c r="E186" t="s">
        <v>335</v>
      </c>
      <c r="F186" s="114" t="s">
        <v>112</v>
      </c>
      <c r="J186" s="4" t="s">
        <v>152</v>
      </c>
      <c r="K186" s="14"/>
      <c r="L186" s="14">
        <v>220000</v>
      </c>
    </row>
    <row r="187" spans="1:12" x14ac:dyDescent="0.25">
      <c r="A187" s="113">
        <v>45960</v>
      </c>
      <c r="B187" t="s">
        <v>180</v>
      </c>
      <c r="C187" s="115"/>
      <c r="D187" s="115">
        <v>80000</v>
      </c>
      <c r="F187" s="114" t="s">
        <v>111</v>
      </c>
      <c r="J187" s="4" t="s">
        <v>64</v>
      </c>
      <c r="K187" s="14"/>
      <c r="L187" s="14">
        <v>12000</v>
      </c>
    </row>
    <row r="188" spans="1:12" x14ac:dyDescent="0.25">
      <c r="A188" s="113">
        <v>45960</v>
      </c>
      <c r="B188" t="s">
        <v>206</v>
      </c>
      <c r="C188" s="11">
        <v>73500</v>
      </c>
      <c r="D188" s="11"/>
      <c r="E188" t="s">
        <v>167</v>
      </c>
      <c r="F188" s="114" t="s">
        <v>111</v>
      </c>
      <c r="J188" s="4" t="s">
        <v>277</v>
      </c>
      <c r="K188" s="14"/>
      <c r="L188" s="14">
        <v>250000</v>
      </c>
    </row>
    <row r="189" spans="1:12" x14ac:dyDescent="0.25">
      <c r="A189" s="113">
        <v>45960</v>
      </c>
      <c r="B189" t="s">
        <v>50</v>
      </c>
      <c r="C189" s="11">
        <v>300</v>
      </c>
      <c r="D189" s="11"/>
      <c r="E189" t="s">
        <v>336</v>
      </c>
      <c r="F189" s="114" t="s">
        <v>111</v>
      </c>
      <c r="J189" s="4" t="s">
        <v>170</v>
      </c>
      <c r="K189" s="14">
        <v>2630544</v>
      </c>
      <c r="L189" s="14"/>
    </row>
    <row r="190" spans="1:12" x14ac:dyDescent="0.25">
      <c r="A190" s="113">
        <v>45960</v>
      </c>
      <c r="B190" t="s">
        <v>54</v>
      </c>
      <c r="C190" s="11">
        <v>5311</v>
      </c>
      <c r="D190" s="11"/>
      <c r="E190" t="s">
        <v>231</v>
      </c>
      <c r="F190" s="114" t="s">
        <v>111</v>
      </c>
      <c r="J190" s="4" t="s">
        <v>174</v>
      </c>
      <c r="K190" s="14"/>
      <c r="L190" s="14">
        <v>955025</v>
      </c>
    </row>
    <row r="191" spans="1:12" x14ac:dyDescent="0.25">
      <c r="A191" s="113">
        <v>45960</v>
      </c>
      <c r="B191" t="s">
        <v>212</v>
      </c>
      <c r="C191" s="11">
        <v>4836</v>
      </c>
      <c r="D191" s="11"/>
      <c r="E191" t="s">
        <v>337</v>
      </c>
      <c r="F191" s="114" t="s">
        <v>111</v>
      </c>
      <c r="J191" s="4" t="s">
        <v>182</v>
      </c>
      <c r="K191" s="14"/>
      <c r="L191" s="14">
        <v>1000</v>
      </c>
    </row>
    <row r="192" spans="1:12" x14ac:dyDescent="0.25">
      <c r="A192" s="113">
        <v>45961</v>
      </c>
      <c r="B192" t="s">
        <v>227</v>
      </c>
      <c r="C192" s="11"/>
      <c r="D192" s="11">
        <v>300000</v>
      </c>
      <c r="F192" s="114" t="s">
        <v>111</v>
      </c>
      <c r="J192" s="4" t="s">
        <v>294</v>
      </c>
      <c r="K192" s="14"/>
      <c r="L192" s="14">
        <v>6209544</v>
      </c>
    </row>
    <row r="193" spans="1:12" x14ac:dyDescent="0.25">
      <c r="A193" s="113">
        <v>45961</v>
      </c>
      <c r="B193" t="s">
        <v>97</v>
      </c>
      <c r="C193" s="11">
        <v>75230</v>
      </c>
      <c r="D193" s="11"/>
      <c r="E193" t="s">
        <v>189</v>
      </c>
      <c r="F193" s="114" t="s">
        <v>111</v>
      </c>
      <c r="J193" s="4" t="s">
        <v>187</v>
      </c>
      <c r="K193" s="14">
        <v>-1629605</v>
      </c>
      <c r="L193" s="14"/>
    </row>
    <row r="194" spans="1:12" x14ac:dyDescent="0.25">
      <c r="A194" s="113">
        <v>45961</v>
      </c>
      <c r="B194" t="s">
        <v>97</v>
      </c>
      <c r="C194" s="11">
        <v>200000</v>
      </c>
      <c r="D194" s="11"/>
      <c r="E194" t="s">
        <v>340</v>
      </c>
      <c r="F194" s="114" t="s">
        <v>111</v>
      </c>
      <c r="J194" s="4" t="s">
        <v>198</v>
      </c>
      <c r="K194" s="14">
        <v>2915571</v>
      </c>
      <c r="L194" s="14"/>
    </row>
    <row r="195" spans="1:12" x14ac:dyDescent="0.25">
      <c r="A195" s="113">
        <v>45961</v>
      </c>
      <c r="B195" t="s">
        <v>9</v>
      </c>
      <c r="C195" s="11"/>
      <c r="D195" s="11">
        <v>500000</v>
      </c>
      <c r="E195" t="s">
        <v>341</v>
      </c>
      <c r="F195" s="114" t="s">
        <v>111</v>
      </c>
      <c r="J195" s="4" t="s">
        <v>206</v>
      </c>
      <c r="K195" s="14"/>
      <c r="L195" s="14">
        <v>842750</v>
      </c>
    </row>
    <row r="196" spans="1:12" x14ac:dyDescent="0.25">
      <c r="A196" s="113">
        <v>45961</v>
      </c>
      <c r="B196" t="s">
        <v>170</v>
      </c>
      <c r="C196" s="115"/>
      <c r="D196" s="115">
        <v>1385544</v>
      </c>
      <c r="E196" t="s">
        <v>341</v>
      </c>
      <c r="F196" s="114" t="s">
        <v>111</v>
      </c>
      <c r="J196" s="4" t="s">
        <v>214</v>
      </c>
      <c r="K196" s="14">
        <v>54825</v>
      </c>
      <c r="L196" s="14">
        <v>35195</v>
      </c>
    </row>
    <row r="197" spans="1:12" x14ac:dyDescent="0.25">
      <c r="A197" s="113">
        <v>45961</v>
      </c>
      <c r="B197" t="s">
        <v>24</v>
      </c>
      <c r="C197" s="11"/>
      <c r="D197" s="11">
        <v>500000</v>
      </c>
      <c r="E197" t="s">
        <v>341</v>
      </c>
      <c r="F197" s="114" t="s">
        <v>111</v>
      </c>
      <c r="J197" s="4" t="s">
        <v>222</v>
      </c>
      <c r="K197" s="14"/>
      <c r="L197" s="14">
        <v>42000</v>
      </c>
    </row>
    <row r="198" spans="1:12" x14ac:dyDescent="0.25">
      <c r="A198" s="113">
        <v>45961</v>
      </c>
      <c r="B198" t="s">
        <v>27</v>
      </c>
      <c r="C198" s="11"/>
      <c r="D198" s="11">
        <v>500000</v>
      </c>
      <c r="E198" t="s">
        <v>341</v>
      </c>
      <c r="F198" s="114" t="s">
        <v>111</v>
      </c>
      <c r="J198" s="4" t="s">
        <v>244</v>
      </c>
      <c r="K198" s="14"/>
      <c r="L198" s="14">
        <v>2503038</v>
      </c>
    </row>
    <row r="199" spans="1:12" x14ac:dyDescent="0.25">
      <c r="A199" s="113">
        <v>45961</v>
      </c>
      <c r="B199" t="s">
        <v>22</v>
      </c>
      <c r="C199" s="11"/>
      <c r="D199" s="11">
        <v>1500000</v>
      </c>
      <c r="E199" t="s">
        <v>341</v>
      </c>
      <c r="F199" s="114" t="s">
        <v>111</v>
      </c>
      <c r="J199" s="4" t="s">
        <v>227</v>
      </c>
      <c r="K199" s="14">
        <v>835660</v>
      </c>
      <c r="L199" s="14"/>
    </row>
    <row r="200" spans="1:12" x14ac:dyDescent="0.25">
      <c r="A200" s="113">
        <v>45961</v>
      </c>
      <c r="B200" t="s">
        <v>294</v>
      </c>
      <c r="C200" s="11">
        <v>500000</v>
      </c>
      <c r="D200" s="11"/>
      <c r="E200" t="s">
        <v>342</v>
      </c>
      <c r="F200" s="114" t="s">
        <v>111</v>
      </c>
      <c r="J200" s="4" t="s">
        <v>180</v>
      </c>
      <c r="K200" s="14">
        <v>480000</v>
      </c>
      <c r="L200" s="14"/>
    </row>
    <row r="201" spans="1:12" x14ac:dyDescent="0.25">
      <c r="A201" s="113">
        <v>45961</v>
      </c>
      <c r="B201" t="s">
        <v>294</v>
      </c>
      <c r="C201" s="115">
        <v>1385544</v>
      </c>
      <c r="D201" s="11"/>
      <c r="E201" t="s">
        <v>343</v>
      </c>
      <c r="F201" s="114" t="s">
        <v>111</v>
      </c>
      <c r="J201" s="4" t="s">
        <v>296</v>
      </c>
      <c r="K201" s="14">
        <v>800000</v>
      </c>
      <c r="L201" s="14"/>
    </row>
    <row r="202" spans="1:12" x14ac:dyDescent="0.25">
      <c r="A202" s="113">
        <v>45961</v>
      </c>
      <c r="B202" t="s">
        <v>294</v>
      </c>
      <c r="C202" s="11">
        <v>500000</v>
      </c>
      <c r="D202" s="11"/>
      <c r="E202" t="s">
        <v>27</v>
      </c>
      <c r="F202" s="114" t="s">
        <v>111</v>
      </c>
      <c r="J202" s="4" t="s">
        <v>302</v>
      </c>
      <c r="K202" s="14">
        <v>474200</v>
      </c>
      <c r="L202" s="14"/>
    </row>
    <row r="203" spans="1:12" x14ac:dyDescent="0.25">
      <c r="A203" s="113">
        <v>45961</v>
      </c>
      <c r="B203" t="s">
        <v>294</v>
      </c>
      <c r="C203" s="11">
        <v>500000</v>
      </c>
      <c r="D203" s="11"/>
      <c r="E203" t="s">
        <v>24</v>
      </c>
      <c r="F203" s="114" t="s">
        <v>111</v>
      </c>
      <c r="J203" s="4" t="s">
        <v>304</v>
      </c>
      <c r="K203" s="14">
        <v>95000</v>
      </c>
      <c r="L203" s="14"/>
    </row>
    <row r="204" spans="1:12" x14ac:dyDescent="0.25">
      <c r="A204" s="113">
        <v>45961</v>
      </c>
      <c r="B204" t="s">
        <v>294</v>
      </c>
      <c r="C204" s="11">
        <v>1500000</v>
      </c>
      <c r="D204" s="11"/>
      <c r="E204" t="s">
        <v>22</v>
      </c>
      <c r="F204" s="114" t="s">
        <v>111</v>
      </c>
      <c r="J204" s="4" t="s">
        <v>380</v>
      </c>
      <c r="K204" s="14"/>
      <c r="L204" s="14">
        <v>296000</v>
      </c>
    </row>
    <row r="205" spans="1:12" x14ac:dyDescent="0.25">
      <c r="A205" s="113">
        <v>45961</v>
      </c>
      <c r="B205" t="s">
        <v>212</v>
      </c>
      <c r="C205" s="11">
        <v>880</v>
      </c>
      <c r="D205" s="11"/>
      <c r="E205" t="s">
        <v>344</v>
      </c>
      <c r="F205" s="114" t="s">
        <v>111</v>
      </c>
      <c r="J205" s="4" t="s">
        <v>424</v>
      </c>
      <c r="K205" s="14"/>
      <c r="L205" s="14">
        <v>37500</v>
      </c>
    </row>
    <row r="206" spans="1:12" x14ac:dyDescent="0.25">
      <c r="A206" s="43">
        <v>45961</v>
      </c>
      <c r="B206" t="s">
        <v>212</v>
      </c>
      <c r="C206" s="115">
        <f>580+590+140</f>
        <v>1310</v>
      </c>
      <c r="D206" s="115"/>
      <c r="E206" t="s">
        <v>345</v>
      </c>
      <c r="F206" s="114" t="s">
        <v>111</v>
      </c>
      <c r="J206" s="4" t="s">
        <v>28</v>
      </c>
      <c r="K206" s="14">
        <v>21533290</v>
      </c>
      <c r="L206" s="14">
        <v>21425938</v>
      </c>
    </row>
    <row r="207" spans="1:12" x14ac:dyDescent="0.25">
      <c r="A207" s="113">
        <v>45962</v>
      </c>
      <c r="B207" t="s">
        <v>212</v>
      </c>
      <c r="C207" s="11">
        <v>2500</v>
      </c>
      <c r="D207" s="11"/>
      <c r="E207" t="s">
        <v>346</v>
      </c>
      <c r="F207" s="114" t="s">
        <v>112</v>
      </c>
    </row>
    <row r="208" spans="1:12" x14ac:dyDescent="0.25">
      <c r="A208" s="113">
        <v>45962</v>
      </c>
      <c r="B208" t="s">
        <v>55</v>
      </c>
      <c r="C208" s="11">
        <v>20000</v>
      </c>
      <c r="D208" s="11"/>
      <c r="E208" t="s">
        <v>347</v>
      </c>
      <c r="F208" s="114" t="s">
        <v>111</v>
      </c>
    </row>
    <row r="209" spans="1:6" x14ac:dyDescent="0.25">
      <c r="A209" s="113">
        <v>45962</v>
      </c>
      <c r="B209" t="s">
        <v>55</v>
      </c>
      <c r="C209" s="11">
        <v>10000</v>
      </c>
      <c r="D209" s="11"/>
      <c r="E209" t="s">
        <v>347</v>
      </c>
      <c r="F209" s="114" t="s">
        <v>112</v>
      </c>
    </row>
    <row r="210" spans="1:6" x14ac:dyDescent="0.25">
      <c r="A210" s="113">
        <v>45962</v>
      </c>
      <c r="B210" t="s">
        <v>54</v>
      </c>
      <c r="C210" s="11">
        <v>1500</v>
      </c>
      <c r="D210" s="11"/>
      <c r="E210" t="s">
        <v>348</v>
      </c>
      <c r="F210" s="114" t="s">
        <v>112</v>
      </c>
    </row>
    <row r="211" spans="1:6" x14ac:dyDescent="0.25">
      <c r="A211" s="113">
        <v>45962</v>
      </c>
      <c r="B211" t="s">
        <v>50</v>
      </c>
      <c r="C211" s="11">
        <v>1500</v>
      </c>
      <c r="D211" s="11"/>
      <c r="E211" t="s">
        <v>349</v>
      </c>
      <c r="F211" s="114" t="s">
        <v>111</v>
      </c>
    </row>
    <row r="212" spans="1:6" x14ac:dyDescent="0.25">
      <c r="A212" s="113">
        <v>45962</v>
      </c>
      <c r="B212" t="s">
        <v>54</v>
      </c>
      <c r="C212" s="11">
        <v>9074</v>
      </c>
      <c r="D212" s="11"/>
      <c r="E212" t="s">
        <v>350</v>
      </c>
      <c r="F212" s="114" t="s">
        <v>111</v>
      </c>
    </row>
    <row r="213" spans="1:6" x14ac:dyDescent="0.25">
      <c r="A213" s="113">
        <v>45962</v>
      </c>
      <c r="B213" t="s">
        <v>194</v>
      </c>
      <c r="C213" s="11"/>
      <c r="D213" s="11">
        <v>9074</v>
      </c>
      <c r="E213" t="s">
        <v>351</v>
      </c>
      <c r="F213" s="114" t="s">
        <v>111</v>
      </c>
    </row>
    <row r="214" spans="1:6" x14ac:dyDescent="0.25">
      <c r="A214" s="113">
        <v>45962</v>
      </c>
      <c r="B214" t="s">
        <v>302</v>
      </c>
      <c r="C214" s="11"/>
      <c r="D214" s="11">
        <v>218000</v>
      </c>
      <c r="F214" s="114" t="s">
        <v>111</v>
      </c>
    </row>
    <row r="215" spans="1:6" x14ac:dyDescent="0.25">
      <c r="A215" s="113">
        <v>45962</v>
      </c>
      <c r="B215" t="s">
        <v>174</v>
      </c>
      <c r="C215" s="11">
        <v>164375</v>
      </c>
      <c r="D215" s="11"/>
      <c r="E215" t="s">
        <v>285</v>
      </c>
      <c r="F215" s="114" t="s">
        <v>111</v>
      </c>
    </row>
    <row r="216" spans="1:6" x14ac:dyDescent="0.25">
      <c r="A216" s="113">
        <v>45962</v>
      </c>
      <c r="B216" t="s">
        <v>50</v>
      </c>
      <c r="C216" s="11">
        <v>1000</v>
      </c>
      <c r="D216" s="11"/>
      <c r="E216" t="s">
        <v>352</v>
      </c>
      <c r="F216" s="114" t="s">
        <v>111</v>
      </c>
    </row>
    <row r="217" spans="1:6" x14ac:dyDescent="0.25">
      <c r="A217" s="113">
        <v>45962</v>
      </c>
      <c r="B217" t="s">
        <v>50</v>
      </c>
      <c r="C217" s="115">
        <v>300</v>
      </c>
      <c r="D217" s="115"/>
      <c r="E217" t="s">
        <v>353</v>
      </c>
      <c r="F217" s="114" t="s">
        <v>112</v>
      </c>
    </row>
    <row r="218" spans="1:6" x14ac:dyDescent="0.25">
      <c r="A218" s="113">
        <v>45962</v>
      </c>
      <c r="B218" t="s">
        <v>21</v>
      </c>
      <c r="C218" s="11"/>
      <c r="D218" s="11">
        <v>145000</v>
      </c>
      <c r="E218" t="s">
        <v>64</v>
      </c>
      <c r="F218" s="114" t="s">
        <v>111</v>
      </c>
    </row>
    <row r="219" spans="1:6" x14ac:dyDescent="0.25">
      <c r="A219" s="113">
        <v>45962</v>
      </c>
      <c r="B219" t="s">
        <v>21</v>
      </c>
      <c r="C219" s="11"/>
      <c r="D219" s="11">
        <v>45000</v>
      </c>
      <c r="F219" s="114" t="s">
        <v>111</v>
      </c>
    </row>
    <row r="220" spans="1:6" x14ac:dyDescent="0.25">
      <c r="A220" s="113">
        <v>45962</v>
      </c>
      <c r="B220" t="s">
        <v>21</v>
      </c>
      <c r="C220" s="11"/>
      <c r="D220" s="11">
        <v>120000</v>
      </c>
      <c r="F220" s="114" t="s">
        <v>111</v>
      </c>
    </row>
    <row r="221" spans="1:6" x14ac:dyDescent="0.25">
      <c r="A221" s="113">
        <v>45962</v>
      </c>
      <c r="B221" t="s">
        <v>206</v>
      </c>
      <c r="C221" s="11">
        <v>145000</v>
      </c>
      <c r="D221" s="11"/>
      <c r="E221" t="s">
        <v>64</v>
      </c>
      <c r="F221" s="114" t="s">
        <v>111</v>
      </c>
    </row>
    <row r="222" spans="1:6" x14ac:dyDescent="0.25">
      <c r="A222" s="113">
        <v>45962</v>
      </c>
      <c r="B222" t="s">
        <v>97</v>
      </c>
      <c r="C222" s="11">
        <v>150000</v>
      </c>
      <c r="D222" s="11"/>
      <c r="F222" s="114" t="s">
        <v>111</v>
      </c>
    </row>
    <row r="223" spans="1:6" x14ac:dyDescent="0.25">
      <c r="A223" s="113">
        <v>45962</v>
      </c>
      <c r="B223" t="s">
        <v>119</v>
      </c>
      <c r="C223" s="115">
        <v>100000</v>
      </c>
      <c r="D223" s="115"/>
      <c r="E223" t="s">
        <v>169</v>
      </c>
      <c r="F223" s="114" t="s">
        <v>111</v>
      </c>
    </row>
    <row r="224" spans="1:6" x14ac:dyDescent="0.25">
      <c r="A224" s="113">
        <v>45962</v>
      </c>
      <c r="B224" t="s">
        <v>21</v>
      </c>
      <c r="C224" s="11"/>
      <c r="D224" s="11">
        <v>100000</v>
      </c>
      <c r="E224" t="s">
        <v>354</v>
      </c>
      <c r="F224" s="114" t="s">
        <v>111</v>
      </c>
    </row>
    <row r="225" spans="1:6" x14ac:dyDescent="0.25">
      <c r="A225" s="113">
        <v>45962</v>
      </c>
      <c r="B225" t="s">
        <v>191</v>
      </c>
      <c r="C225" s="11">
        <v>30000</v>
      </c>
      <c r="D225" s="11"/>
      <c r="E225" t="s">
        <v>355</v>
      </c>
      <c r="F225" s="114" t="s">
        <v>111</v>
      </c>
    </row>
    <row r="226" spans="1:6" x14ac:dyDescent="0.25">
      <c r="A226" s="113">
        <v>45962</v>
      </c>
      <c r="B226" t="s">
        <v>116</v>
      </c>
      <c r="C226" s="11">
        <v>2060</v>
      </c>
      <c r="D226" s="11"/>
      <c r="E226" t="s">
        <v>356</v>
      </c>
      <c r="F226" s="114" t="s">
        <v>111</v>
      </c>
    </row>
    <row r="227" spans="1:6" x14ac:dyDescent="0.25">
      <c r="A227" s="43">
        <v>45962</v>
      </c>
      <c r="B227" t="s">
        <v>116</v>
      </c>
      <c r="C227" s="115">
        <v>2270</v>
      </c>
      <c r="D227" s="115"/>
      <c r="E227" t="s">
        <v>116</v>
      </c>
      <c r="F227" s="114" t="s">
        <v>111</v>
      </c>
    </row>
    <row r="228" spans="1:6" x14ac:dyDescent="0.25">
      <c r="A228" s="113">
        <v>45962</v>
      </c>
      <c r="B228" t="s">
        <v>54</v>
      </c>
      <c r="C228" s="11">
        <v>2000</v>
      </c>
      <c r="D228" s="11"/>
      <c r="E228" t="s">
        <v>231</v>
      </c>
      <c r="F228" s="114" t="s">
        <v>111</v>
      </c>
    </row>
    <row r="229" spans="1:6" x14ac:dyDescent="0.25">
      <c r="A229" s="113">
        <v>45962</v>
      </c>
      <c r="B229" t="s">
        <v>194</v>
      </c>
      <c r="C229" s="11">
        <v>1500</v>
      </c>
      <c r="D229" s="11"/>
      <c r="E229" t="s">
        <v>306</v>
      </c>
      <c r="F229" s="114" t="s">
        <v>111</v>
      </c>
    </row>
    <row r="230" spans="1:6" x14ac:dyDescent="0.25">
      <c r="A230" s="43">
        <v>45963</v>
      </c>
      <c r="B230" t="s">
        <v>21</v>
      </c>
      <c r="C230" s="115"/>
      <c r="D230" s="115">
        <v>20000</v>
      </c>
      <c r="E230" t="s">
        <v>357</v>
      </c>
      <c r="F230" s="114" t="s">
        <v>111</v>
      </c>
    </row>
    <row r="231" spans="1:6" x14ac:dyDescent="0.25">
      <c r="A231" s="43">
        <v>45963</v>
      </c>
      <c r="B231" t="s">
        <v>52</v>
      </c>
      <c r="C231" s="11">
        <v>20000</v>
      </c>
      <c r="D231" s="11"/>
      <c r="E231" t="s">
        <v>357</v>
      </c>
      <c r="F231" s="114" t="s">
        <v>111</v>
      </c>
    </row>
    <row r="232" spans="1:6" x14ac:dyDescent="0.25">
      <c r="A232" s="113">
        <v>45964</v>
      </c>
      <c r="B232" t="s">
        <v>52</v>
      </c>
      <c r="C232" s="11">
        <v>10000</v>
      </c>
      <c r="D232" s="11"/>
      <c r="E232" t="s">
        <v>355</v>
      </c>
      <c r="F232" s="114" t="s">
        <v>111</v>
      </c>
    </row>
    <row r="233" spans="1:6" x14ac:dyDescent="0.25">
      <c r="A233" s="43">
        <v>45964</v>
      </c>
      <c r="B233" t="s">
        <v>97</v>
      </c>
      <c r="C233" s="115">
        <v>77570</v>
      </c>
      <c r="D233" s="115"/>
      <c r="E233" t="s">
        <v>189</v>
      </c>
      <c r="F233" s="114" t="s">
        <v>111</v>
      </c>
    </row>
    <row r="234" spans="1:6" x14ac:dyDescent="0.25">
      <c r="A234" s="113">
        <v>45964</v>
      </c>
      <c r="B234" t="s">
        <v>97</v>
      </c>
      <c r="C234" s="115">
        <v>300000</v>
      </c>
      <c r="D234" s="115"/>
      <c r="E234" t="s">
        <v>360</v>
      </c>
      <c r="F234" s="114" t="s">
        <v>111</v>
      </c>
    </row>
    <row r="235" spans="1:6" x14ac:dyDescent="0.25">
      <c r="A235" s="113">
        <v>45964</v>
      </c>
      <c r="B235" t="s">
        <v>26</v>
      </c>
      <c r="C235" s="115"/>
      <c r="D235" s="115">
        <v>300000</v>
      </c>
      <c r="F235" s="114" t="s">
        <v>111</v>
      </c>
    </row>
    <row r="236" spans="1:6" x14ac:dyDescent="0.25">
      <c r="A236" s="113">
        <v>45964</v>
      </c>
      <c r="B236" t="s">
        <v>170</v>
      </c>
      <c r="C236" s="115"/>
      <c r="D236" s="115">
        <v>175000</v>
      </c>
      <c r="F236" s="114" t="s">
        <v>111</v>
      </c>
    </row>
    <row r="237" spans="1:6" x14ac:dyDescent="0.25">
      <c r="A237" s="113">
        <v>45964</v>
      </c>
      <c r="B237" t="s">
        <v>170</v>
      </c>
      <c r="C237" s="115"/>
      <c r="D237" s="115">
        <v>100000</v>
      </c>
      <c r="F237" s="114" t="s">
        <v>111</v>
      </c>
    </row>
    <row r="238" spans="1:6" x14ac:dyDescent="0.25">
      <c r="A238" s="43">
        <v>45964</v>
      </c>
      <c r="B238" t="s">
        <v>294</v>
      </c>
      <c r="C238" s="11">
        <v>75000</v>
      </c>
      <c r="D238" s="11"/>
      <c r="E238" t="s">
        <v>373</v>
      </c>
      <c r="F238" s="114" t="s">
        <v>111</v>
      </c>
    </row>
    <row r="239" spans="1:6" x14ac:dyDescent="0.25">
      <c r="A239" s="113">
        <v>45964</v>
      </c>
      <c r="B239" t="s">
        <v>54</v>
      </c>
      <c r="C239" s="11">
        <v>13200</v>
      </c>
      <c r="D239" s="11"/>
      <c r="E239" t="s">
        <v>350</v>
      </c>
      <c r="F239" s="114" t="s">
        <v>111</v>
      </c>
    </row>
    <row r="240" spans="1:6" x14ac:dyDescent="0.25">
      <c r="A240" s="43">
        <v>45964</v>
      </c>
      <c r="B240" t="s">
        <v>212</v>
      </c>
      <c r="C240" s="11">
        <v>7400</v>
      </c>
      <c r="D240" s="11"/>
      <c r="E240" t="s">
        <v>220</v>
      </c>
      <c r="F240" s="114" t="s">
        <v>111</v>
      </c>
    </row>
    <row r="241" spans="1:6" x14ac:dyDescent="0.25">
      <c r="A241" s="113">
        <v>45964</v>
      </c>
      <c r="B241" t="s">
        <v>116</v>
      </c>
      <c r="C241" s="11">
        <v>30480</v>
      </c>
      <c r="D241" s="11"/>
      <c r="E241" t="s">
        <v>116</v>
      </c>
      <c r="F241" s="114" t="s">
        <v>111</v>
      </c>
    </row>
    <row r="242" spans="1:6" x14ac:dyDescent="0.25">
      <c r="A242" s="113">
        <v>45964</v>
      </c>
      <c r="B242" t="s">
        <v>21</v>
      </c>
      <c r="C242" s="11"/>
      <c r="D242" s="11">
        <v>30480</v>
      </c>
      <c r="E242" t="s">
        <v>116</v>
      </c>
      <c r="F242" s="114" t="s">
        <v>111</v>
      </c>
    </row>
    <row r="243" spans="1:6" x14ac:dyDescent="0.25">
      <c r="A243" s="43">
        <v>45964</v>
      </c>
      <c r="B243" t="s">
        <v>55</v>
      </c>
      <c r="C243" s="11">
        <v>27095</v>
      </c>
      <c r="D243" s="11"/>
      <c r="E243" t="s">
        <v>361</v>
      </c>
      <c r="F243" s="114" t="s">
        <v>111</v>
      </c>
    </row>
    <row r="244" spans="1:6" x14ac:dyDescent="0.25">
      <c r="A244" s="113">
        <v>45964</v>
      </c>
      <c r="B244" t="s">
        <v>21</v>
      </c>
      <c r="C244" s="11"/>
      <c r="D244" s="11">
        <v>27095</v>
      </c>
      <c r="F244" s="114" t="s">
        <v>111</v>
      </c>
    </row>
    <row r="245" spans="1:6" x14ac:dyDescent="0.25">
      <c r="A245" s="43">
        <v>45964</v>
      </c>
      <c r="B245" t="s">
        <v>152</v>
      </c>
      <c r="C245" s="11">
        <v>70000</v>
      </c>
      <c r="D245" s="11"/>
      <c r="E245" t="s">
        <v>285</v>
      </c>
      <c r="F245" s="114" t="s">
        <v>111</v>
      </c>
    </row>
    <row r="246" spans="1:6" x14ac:dyDescent="0.25">
      <c r="A246" s="113">
        <v>45964</v>
      </c>
      <c r="B246" t="s">
        <v>198</v>
      </c>
      <c r="C246" s="11"/>
      <c r="D246" s="11">
        <v>1500000</v>
      </c>
      <c r="E246" t="s">
        <v>362</v>
      </c>
      <c r="F246" s="114" t="s">
        <v>111</v>
      </c>
    </row>
    <row r="247" spans="1:6" x14ac:dyDescent="0.25">
      <c r="A247" s="43">
        <v>45964</v>
      </c>
      <c r="B247" t="s">
        <v>52</v>
      </c>
      <c r="C247" s="115"/>
      <c r="D247" s="115"/>
      <c r="E247" t="s">
        <v>225</v>
      </c>
      <c r="F247" s="114" t="s">
        <v>111</v>
      </c>
    </row>
    <row r="248" spans="1:6" x14ac:dyDescent="0.25">
      <c r="A248" s="113">
        <v>45965</v>
      </c>
      <c r="B248" t="s">
        <v>97</v>
      </c>
      <c r="C248" s="11">
        <v>67950</v>
      </c>
      <c r="D248" s="11"/>
      <c r="E248" t="s">
        <v>364</v>
      </c>
      <c r="F248" s="114" t="s">
        <v>111</v>
      </c>
    </row>
    <row r="249" spans="1:6" x14ac:dyDescent="0.25">
      <c r="A249" s="113">
        <v>45965</v>
      </c>
      <c r="B249" t="s">
        <v>55</v>
      </c>
      <c r="C249" s="11">
        <v>1000</v>
      </c>
      <c r="D249" s="11"/>
      <c r="E249" t="s">
        <v>365</v>
      </c>
      <c r="F249" s="114" t="s">
        <v>111</v>
      </c>
    </row>
    <row r="250" spans="1:6" x14ac:dyDescent="0.25">
      <c r="A250" s="113">
        <v>45965</v>
      </c>
      <c r="B250" t="s">
        <v>55</v>
      </c>
      <c r="C250" s="11">
        <v>17500</v>
      </c>
      <c r="D250" s="11"/>
      <c r="E250" t="s">
        <v>366</v>
      </c>
      <c r="F250" s="114" t="s">
        <v>111</v>
      </c>
    </row>
    <row r="251" spans="1:6" x14ac:dyDescent="0.25">
      <c r="A251" s="113">
        <v>45965</v>
      </c>
      <c r="B251" t="s">
        <v>116</v>
      </c>
      <c r="C251" s="11">
        <v>20000</v>
      </c>
      <c r="D251" s="11"/>
      <c r="E251" t="s">
        <v>367</v>
      </c>
      <c r="F251" s="114" t="s">
        <v>111</v>
      </c>
    </row>
    <row r="252" spans="1:6" x14ac:dyDescent="0.25">
      <c r="A252" s="113">
        <v>45965</v>
      </c>
      <c r="B252" t="s">
        <v>97</v>
      </c>
      <c r="C252" s="11">
        <v>250000</v>
      </c>
      <c r="D252" s="11"/>
      <c r="E252" t="s">
        <v>368</v>
      </c>
      <c r="F252" s="114" t="s">
        <v>111</v>
      </c>
    </row>
    <row r="253" spans="1:6" x14ac:dyDescent="0.25">
      <c r="A253" s="113">
        <v>45965</v>
      </c>
      <c r="B253" t="s">
        <v>55</v>
      </c>
      <c r="C253" s="11">
        <v>1150</v>
      </c>
      <c r="D253" s="11"/>
      <c r="E253" t="s">
        <v>203</v>
      </c>
      <c r="F253" s="114" t="s">
        <v>111</v>
      </c>
    </row>
    <row r="254" spans="1:6" x14ac:dyDescent="0.25">
      <c r="A254" s="113">
        <v>45965</v>
      </c>
      <c r="B254" t="s">
        <v>55</v>
      </c>
      <c r="C254" s="11">
        <v>580</v>
      </c>
      <c r="D254" s="11"/>
      <c r="F254" s="114" t="s">
        <v>111</v>
      </c>
    </row>
    <row r="255" spans="1:6" x14ac:dyDescent="0.25">
      <c r="A255" s="113">
        <v>45965</v>
      </c>
      <c r="B255" t="s">
        <v>227</v>
      </c>
      <c r="C255" s="11"/>
      <c r="D255" s="11">
        <v>437660</v>
      </c>
      <c r="F255" s="114" t="s">
        <v>111</v>
      </c>
    </row>
    <row r="256" spans="1:6" x14ac:dyDescent="0.25">
      <c r="A256" s="113">
        <v>45966</v>
      </c>
      <c r="B256" t="s">
        <v>191</v>
      </c>
      <c r="C256" s="115">
        <v>2000</v>
      </c>
      <c r="D256" s="115"/>
      <c r="E256" t="s">
        <v>369</v>
      </c>
      <c r="F256" s="114" t="s">
        <v>111</v>
      </c>
    </row>
    <row r="257" spans="1:6" x14ac:dyDescent="0.25">
      <c r="A257" s="113">
        <v>45966</v>
      </c>
      <c r="B257" t="s">
        <v>212</v>
      </c>
      <c r="C257" s="11">
        <f>2863+1200-1000</f>
        <v>3063</v>
      </c>
      <c r="D257" s="11"/>
      <c r="E257" t="s">
        <v>344</v>
      </c>
      <c r="F257" s="114" t="s">
        <v>111</v>
      </c>
    </row>
    <row r="258" spans="1:6" x14ac:dyDescent="0.25">
      <c r="A258" s="113">
        <v>45966</v>
      </c>
      <c r="B258" t="s">
        <v>212</v>
      </c>
      <c r="C258" s="11">
        <v>2600</v>
      </c>
      <c r="D258" s="11"/>
      <c r="E258" t="s">
        <v>220</v>
      </c>
      <c r="F258" s="114" t="s">
        <v>111</v>
      </c>
    </row>
    <row r="259" spans="1:6" x14ac:dyDescent="0.25">
      <c r="A259" s="113">
        <v>45966</v>
      </c>
      <c r="B259" t="s">
        <v>191</v>
      </c>
      <c r="C259" s="11">
        <v>8000</v>
      </c>
      <c r="D259" s="11"/>
      <c r="E259" t="s">
        <v>270</v>
      </c>
      <c r="F259" s="114" t="s">
        <v>111</v>
      </c>
    </row>
    <row r="260" spans="1:6" x14ac:dyDescent="0.25">
      <c r="A260" s="113">
        <v>45966</v>
      </c>
      <c r="B260" t="s">
        <v>212</v>
      </c>
      <c r="C260" s="115">
        <v>7100</v>
      </c>
      <c r="D260" s="115"/>
      <c r="E260" t="s">
        <v>370</v>
      </c>
      <c r="F260" s="114" t="s">
        <v>111</v>
      </c>
    </row>
    <row r="261" spans="1:6" x14ac:dyDescent="0.25">
      <c r="A261" s="113">
        <v>45966</v>
      </c>
      <c r="B261" t="s">
        <v>97</v>
      </c>
      <c r="C261" s="11">
        <v>15000</v>
      </c>
      <c r="D261" s="11"/>
      <c r="E261" t="s">
        <v>197</v>
      </c>
      <c r="F261" s="114" t="s">
        <v>111</v>
      </c>
    </row>
    <row r="262" spans="1:6" x14ac:dyDescent="0.25">
      <c r="A262" s="113">
        <v>45966</v>
      </c>
      <c r="B262" t="s">
        <v>174</v>
      </c>
      <c r="C262" s="11">
        <v>2300</v>
      </c>
      <c r="D262" s="11"/>
      <c r="E262" t="s">
        <v>197</v>
      </c>
      <c r="F262" s="114" t="s">
        <v>111</v>
      </c>
    </row>
    <row r="263" spans="1:6" x14ac:dyDescent="0.25">
      <c r="A263" s="113">
        <v>45966</v>
      </c>
      <c r="B263" t="s">
        <v>97</v>
      </c>
      <c r="C263" s="11">
        <v>250000</v>
      </c>
      <c r="D263" s="11"/>
      <c r="E263" t="s">
        <v>371</v>
      </c>
      <c r="F263" s="114" t="s">
        <v>111</v>
      </c>
    </row>
    <row r="264" spans="1:6" x14ac:dyDescent="0.25">
      <c r="A264" s="113">
        <v>45966</v>
      </c>
      <c r="B264" t="s">
        <v>212</v>
      </c>
      <c r="C264" s="115">
        <v>12000</v>
      </c>
      <c r="D264" s="115"/>
      <c r="E264" t="s">
        <v>372</v>
      </c>
      <c r="F264" s="114" t="s">
        <v>111</v>
      </c>
    </row>
    <row r="265" spans="1:6" x14ac:dyDescent="0.25">
      <c r="A265" s="113">
        <v>45967</v>
      </c>
      <c r="B265" t="s">
        <v>194</v>
      </c>
      <c r="C265" s="11"/>
      <c r="D265" s="11">
        <v>580</v>
      </c>
      <c r="E265" t="s">
        <v>374</v>
      </c>
      <c r="F265" s="114" t="s">
        <v>111</v>
      </c>
    </row>
    <row r="266" spans="1:6" x14ac:dyDescent="0.25">
      <c r="A266" s="113">
        <v>45967</v>
      </c>
      <c r="B266" t="s">
        <v>50</v>
      </c>
      <c r="C266" s="11">
        <v>580</v>
      </c>
      <c r="D266" s="11"/>
      <c r="F266" s="114" t="s">
        <v>111</v>
      </c>
    </row>
    <row r="267" spans="1:6" x14ac:dyDescent="0.25">
      <c r="A267" s="113">
        <v>45967</v>
      </c>
      <c r="B267" t="s">
        <v>212</v>
      </c>
      <c r="C267" s="11">
        <v>6600</v>
      </c>
      <c r="D267" s="11"/>
      <c r="E267" t="s">
        <v>265</v>
      </c>
      <c r="F267" s="114" t="s">
        <v>111</v>
      </c>
    </row>
    <row r="268" spans="1:6" x14ac:dyDescent="0.25">
      <c r="A268" s="113">
        <v>45967</v>
      </c>
      <c r="B268" t="s">
        <v>191</v>
      </c>
      <c r="C268" s="11">
        <v>2000</v>
      </c>
      <c r="D268" s="11"/>
      <c r="E268" t="s">
        <v>260</v>
      </c>
      <c r="F268" s="114" t="s">
        <v>112</v>
      </c>
    </row>
    <row r="269" spans="1:6" x14ac:dyDescent="0.25">
      <c r="A269" s="113">
        <v>45967</v>
      </c>
      <c r="B269" t="s">
        <v>194</v>
      </c>
      <c r="C269" s="11"/>
      <c r="D269" s="11"/>
      <c r="E269" t="s">
        <v>375</v>
      </c>
      <c r="F269" s="114" t="s">
        <v>112</v>
      </c>
    </row>
    <row r="270" spans="1:6" x14ac:dyDescent="0.25">
      <c r="A270" s="113">
        <v>45967</v>
      </c>
      <c r="B270" t="s">
        <v>174</v>
      </c>
      <c r="C270" s="11">
        <v>191200</v>
      </c>
      <c r="D270" s="11"/>
      <c r="E270" t="s">
        <v>285</v>
      </c>
      <c r="F270" s="114" t="s">
        <v>111</v>
      </c>
    </row>
    <row r="271" spans="1:6" x14ac:dyDescent="0.25">
      <c r="A271" s="113">
        <v>45967</v>
      </c>
      <c r="B271" t="s">
        <v>212</v>
      </c>
      <c r="C271" s="11">
        <v>15000</v>
      </c>
      <c r="D271" s="11"/>
      <c r="E271" t="s">
        <v>370</v>
      </c>
      <c r="F271" s="114" t="s">
        <v>111</v>
      </c>
    </row>
    <row r="272" spans="1:6" x14ac:dyDescent="0.25">
      <c r="A272" s="113">
        <v>45967</v>
      </c>
      <c r="B272" t="s">
        <v>55</v>
      </c>
      <c r="C272" s="11">
        <v>500</v>
      </c>
      <c r="D272" s="11"/>
      <c r="F272" s="114" t="s">
        <v>111</v>
      </c>
    </row>
    <row r="273" spans="1:6" x14ac:dyDescent="0.25">
      <c r="A273" s="113">
        <v>45967</v>
      </c>
      <c r="B273" t="s">
        <v>55</v>
      </c>
      <c r="C273" s="11">
        <v>1790</v>
      </c>
      <c r="D273" s="11"/>
      <c r="E273" t="s">
        <v>376</v>
      </c>
      <c r="F273" s="114" t="s">
        <v>111</v>
      </c>
    </row>
    <row r="274" spans="1:6" x14ac:dyDescent="0.25">
      <c r="A274" s="113">
        <v>45967</v>
      </c>
      <c r="B274" t="s">
        <v>116</v>
      </c>
      <c r="C274" s="11">
        <v>8850</v>
      </c>
      <c r="D274" s="11"/>
      <c r="E274" t="s">
        <v>377</v>
      </c>
      <c r="F274" s="114" t="s">
        <v>111</v>
      </c>
    </row>
    <row r="275" spans="1:6" x14ac:dyDescent="0.25">
      <c r="A275" s="113">
        <v>45967</v>
      </c>
      <c r="B275" t="s">
        <v>54</v>
      </c>
      <c r="C275" s="11">
        <v>1000</v>
      </c>
      <c r="D275" s="11"/>
      <c r="E275" t="s">
        <v>217</v>
      </c>
      <c r="F275" s="114" t="s">
        <v>111</v>
      </c>
    </row>
    <row r="276" spans="1:6" x14ac:dyDescent="0.25">
      <c r="A276" s="113">
        <v>45968</v>
      </c>
      <c r="B276" t="s">
        <v>97</v>
      </c>
      <c r="C276" s="11">
        <v>43400</v>
      </c>
      <c r="D276" s="11"/>
      <c r="E276" t="s">
        <v>300</v>
      </c>
      <c r="F276" s="114" t="s">
        <v>111</v>
      </c>
    </row>
    <row r="277" spans="1:6" x14ac:dyDescent="0.25">
      <c r="A277" s="113">
        <v>45968</v>
      </c>
      <c r="B277" t="s">
        <v>380</v>
      </c>
      <c r="C277" s="11">
        <v>25000</v>
      </c>
      <c r="D277" s="11"/>
      <c r="E277" t="s">
        <v>381</v>
      </c>
      <c r="F277" s="114" t="s">
        <v>111</v>
      </c>
    </row>
    <row r="278" spans="1:6" x14ac:dyDescent="0.25">
      <c r="A278" s="113">
        <v>45968</v>
      </c>
      <c r="B278" t="s">
        <v>382</v>
      </c>
      <c r="C278" s="11">
        <v>155000</v>
      </c>
      <c r="D278" s="11"/>
      <c r="E278" t="s">
        <v>301</v>
      </c>
      <c r="F278" s="114" t="s">
        <v>111</v>
      </c>
    </row>
    <row r="279" spans="1:6" x14ac:dyDescent="0.25">
      <c r="A279" s="113">
        <v>45968</v>
      </c>
      <c r="B279" t="s">
        <v>212</v>
      </c>
      <c r="C279" s="11">
        <f>5000+500</f>
        <v>5500</v>
      </c>
      <c r="D279" s="11"/>
      <c r="E279" t="s">
        <v>331</v>
      </c>
      <c r="F279" s="114" t="s">
        <v>111</v>
      </c>
    </row>
    <row r="280" spans="1:6" x14ac:dyDescent="0.25">
      <c r="A280" s="113">
        <v>45968</v>
      </c>
      <c r="B280" t="s">
        <v>55</v>
      </c>
      <c r="C280" s="11">
        <v>350</v>
      </c>
      <c r="D280" s="11"/>
      <c r="E280" t="s">
        <v>383</v>
      </c>
      <c r="F280" s="114" t="s">
        <v>111</v>
      </c>
    </row>
    <row r="281" spans="1:6" x14ac:dyDescent="0.25">
      <c r="A281" s="113">
        <v>45968</v>
      </c>
      <c r="B281" t="s">
        <v>97</v>
      </c>
      <c r="C281" s="11">
        <v>250000</v>
      </c>
      <c r="D281" s="11"/>
      <c r="E281" t="s">
        <v>384</v>
      </c>
      <c r="F281" s="114" t="s">
        <v>111</v>
      </c>
    </row>
    <row r="282" spans="1:6" x14ac:dyDescent="0.25">
      <c r="A282" s="113">
        <v>45968</v>
      </c>
      <c r="B282" t="s">
        <v>54</v>
      </c>
      <c r="C282" s="11">
        <v>1500</v>
      </c>
      <c r="D282" s="11"/>
      <c r="E282" t="s">
        <v>385</v>
      </c>
      <c r="F282" s="114" t="s">
        <v>111</v>
      </c>
    </row>
    <row r="283" spans="1:6" x14ac:dyDescent="0.25">
      <c r="A283" s="113">
        <v>45968</v>
      </c>
      <c r="B283" t="s">
        <v>55</v>
      </c>
      <c r="C283" s="11">
        <v>10950</v>
      </c>
      <c r="D283" s="11"/>
      <c r="E283" t="s">
        <v>386</v>
      </c>
      <c r="F283" s="114" t="s">
        <v>111</v>
      </c>
    </row>
    <row r="284" spans="1:6" x14ac:dyDescent="0.25">
      <c r="A284" s="113">
        <v>45968</v>
      </c>
      <c r="B284" t="s">
        <v>52</v>
      </c>
      <c r="C284" s="11">
        <v>50000</v>
      </c>
      <c r="D284" s="11"/>
      <c r="E284" t="s">
        <v>192</v>
      </c>
      <c r="F284" s="114" t="s">
        <v>111</v>
      </c>
    </row>
    <row r="285" spans="1:6" x14ac:dyDescent="0.25">
      <c r="A285" s="113">
        <v>45968</v>
      </c>
      <c r="B285" t="s">
        <v>55</v>
      </c>
      <c r="C285" s="11">
        <v>2961</v>
      </c>
      <c r="D285" s="11"/>
      <c r="E285" t="s">
        <v>214</v>
      </c>
      <c r="F285" s="114" t="s">
        <v>111</v>
      </c>
    </row>
    <row r="286" spans="1:6" x14ac:dyDescent="0.25">
      <c r="A286" s="113">
        <v>45968</v>
      </c>
      <c r="B286" t="s">
        <v>191</v>
      </c>
      <c r="C286" s="11">
        <v>5000</v>
      </c>
      <c r="D286" s="11"/>
      <c r="E286" t="s">
        <v>369</v>
      </c>
      <c r="F286" s="114" t="s">
        <v>111</v>
      </c>
    </row>
    <row r="287" spans="1:6" x14ac:dyDescent="0.25">
      <c r="A287" s="113">
        <v>45968</v>
      </c>
      <c r="B287" t="s">
        <v>191</v>
      </c>
      <c r="C287" s="11">
        <v>10000</v>
      </c>
      <c r="D287" s="11"/>
      <c r="E287" t="s">
        <v>387</v>
      </c>
      <c r="F287" s="114" t="s">
        <v>111</v>
      </c>
    </row>
    <row r="288" spans="1:6" x14ac:dyDescent="0.25">
      <c r="A288" s="113">
        <v>45968</v>
      </c>
      <c r="B288" t="s">
        <v>206</v>
      </c>
      <c r="C288" s="11">
        <v>161000</v>
      </c>
      <c r="D288" s="11"/>
      <c r="E288" t="s">
        <v>64</v>
      </c>
      <c r="F288" s="114" t="s">
        <v>111</v>
      </c>
    </row>
    <row r="289" spans="1:6" x14ac:dyDescent="0.25">
      <c r="A289" s="113">
        <v>45968</v>
      </c>
      <c r="B289" t="s">
        <v>212</v>
      </c>
      <c r="C289" s="11">
        <v>8100</v>
      </c>
      <c r="D289" s="11"/>
      <c r="E289" t="s">
        <v>319</v>
      </c>
      <c r="F289" s="114" t="s">
        <v>111</v>
      </c>
    </row>
    <row r="290" spans="1:6" x14ac:dyDescent="0.25">
      <c r="A290" s="113">
        <v>45968</v>
      </c>
      <c r="B290" t="s">
        <v>119</v>
      </c>
      <c r="C290" s="11">
        <v>110000</v>
      </c>
      <c r="D290" s="11"/>
      <c r="E290" t="s">
        <v>169</v>
      </c>
      <c r="F290" s="114" t="s">
        <v>111</v>
      </c>
    </row>
    <row r="291" spans="1:6" x14ac:dyDescent="0.25">
      <c r="A291" s="113">
        <v>45968</v>
      </c>
      <c r="B291" t="s">
        <v>296</v>
      </c>
      <c r="C291" s="11"/>
      <c r="D291" s="11">
        <v>110000</v>
      </c>
      <c r="F291" s="114" t="s">
        <v>111</v>
      </c>
    </row>
    <row r="292" spans="1:6" x14ac:dyDescent="0.25">
      <c r="A292" s="43">
        <v>45968</v>
      </c>
      <c r="B292" t="s">
        <v>212</v>
      </c>
      <c r="C292" s="115">
        <v>3500</v>
      </c>
      <c r="D292" s="115"/>
      <c r="E292" t="s">
        <v>388</v>
      </c>
      <c r="F292" s="114" t="s">
        <v>111</v>
      </c>
    </row>
    <row r="293" spans="1:6" x14ac:dyDescent="0.25">
      <c r="A293" s="43">
        <v>45968</v>
      </c>
      <c r="B293" t="s">
        <v>22</v>
      </c>
      <c r="C293" s="115"/>
      <c r="D293" s="115">
        <v>200000</v>
      </c>
      <c r="F293" s="114" t="s">
        <v>111</v>
      </c>
    </row>
    <row r="294" spans="1:6" x14ac:dyDescent="0.25">
      <c r="A294" s="43">
        <v>45969</v>
      </c>
      <c r="B294" t="s">
        <v>201</v>
      </c>
      <c r="C294" s="115"/>
      <c r="D294" s="115">
        <v>655504</v>
      </c>
      <c r="E294" t="s">
        <v>391</v>
      </c>
      <c r="F294" s="114" t="s">
        <v>111</v>
      </c>
    </row>
    <row r="295" spans="1:6" x14ac:dyDescent="0.25">
      <c r="A295" s="113">
        <v>45969</v>
      </c>
      <c r="B295" t="s">
        <v>22</v>
      </c>
      <c r="C295" s="11"/>
      <c r="D295" s="11">
        <v>150000</v>
      </c>
      <c r="F295" s="114" t="s">
        <v>111</v>
      </c>
    </row>
    <row r="296" spans="1:6" x14ac:dyDescent="0.25">
      <c r="A296" s="113">
        <v>45969</v>
      </c>
      <c r="B296" t="s">
        <v>201</v>
      </c>
      <c r="C296" s="11"/>
      <c r="D296" s="11">
        <v>71359</v>
      </c>
      <c r="E296" t="s">
        <v>392</v>
      </c>
      <c r="F296" s="114" t="s">
        <v>111</v>
      </c>
    </row>
    <row r="297" spans="1:6" x14ac:dyDescent="0.25">
      <c r="A297" s="113">
        <v>45969</v>
      </c>
      <c r="B297" t="s">
        <v>212</v>
      </c>
      <c r="C297" s="115">
        <v>6000</v>
      </c>
      <c r="D297" s="115"/>
      <c r="E297" t="s">
        <v>393</v>
      </c>
      <c r="F297" s="114" t="s">
        <v>111</v>
      </c>
    </row>
    <row r="298" spans="1:6" x14ac:dyDescent="0.25">
      <c r="A298" s="113">
        <v>45969</v>
      </c>
      <c r="B298" t="s">
        <v>55</v>
      </c>
      <c r="C298" s="11">
        <v>250</v>
      </c>
      <c r="D298" s="11"/>
      <c r="F298" s="114" t="s">
        <v>111</v>
      </c>
    </row>
    <row r="299" spans="1:6" x14ac:dyDescent="0.25">
      <c r="A299" s="113">
        <v>45969</v>
      </c>
      <c r="B299" t="s">
        <v>55</v>
      </c>
      <c r="C299" s="11">
        <v>450</v>
      </c>
      <c r="D299" s="11"/>
      <c r="F299" s="114" t="s">
        <v>111</v>
      </c>
    </row>
    <row r="300" spans="1:6" x14ac:dyDescent="0.25">
      <c r="A300" s="113">
        <v>45969</v>
      </c>
      <c r="B300" t="s">
        <v>55</v>
      </c>
      <c r="C300" s="11">
        <v>1520</v>
      </c>
      <c r="D300" s="11"/>
      <c r="F300" s="114" t="s">
        <v>111</v>
      </c>
    </row>
    <row r="301" spans="1:6" x14ac:dyDescent="0.25">
      <c r="A301" s="113">
        <v>45969</v>
      </c>
      <c r="B301" t="s">
        <v>55</v>
      </c>
      <c r="C301" s="11">
        <v>750</v>
      </c>
      <c r="D301" s="11"/>
      <c r="F301" s="114" t="s">
        <v>111</v>
      </c>
    </row>
    <row r="302" spans="1:6" x14ac:dyDescent="0.25">
      <c r="A302" s="113">
        <v>45969</v>
      </c>
      <c r="B302" t="s">
        <v>55</v>
      </c>
      <c r="C302" s="11">
        <v>4800</v>
      </c>
      <c r="D302" s="11"/>
      <c r="F302" s="114" t="s">
        <v>111</v>
      </c>
    </row>
    <row r="303" spans="1:6" x14ac:dyDescent="0.25">
      <c r="A303" s="113">
        <v>45969</v>
      </c>
      <c r="B303" t="s">
        <v>97</v>
      </c>
      <c r="C303" s="11">
        <v>74450</v>
      </c>
      <c r="D303" s="11"/>
      <c r="E303" t="s">
        <v>364</v>
      </c>
      <c r="F303" s="114" t="s">
        <v>111</v>
      </c>
    </row>
    <row r="304" spans="1:6" x14ac:dyDescent="0.25">
      <c r="A304" s="113">
        <v>45969</v>
      </c>
      <c r="B304" t="s">
        <v>212</v>
      </c>
      <c r="C304" s="11">
        <v>2000</v>
      </c>
      <c r="D304" s="11"/>
      <c r="E304" t="s">
        <v>394</v>
      </c>
      <c r="F304" s="114" t="s">
        <v>111</v>
      </c>
    </row>
    <row r="305" spans="1:6" x14ac:dyDescent="0.25">
      <c r="A305" s="113">
        <v>45969</v>
      </c>
      <c r="B305" t="s">
        <v>55</v>
      </c>
      <c r="C305" s="11">
        <v>7011</v>
      </c>
      <c r="D305" s="11"/>
      <c r="E305" t="s">
        <v>395</v>
      </c>
      <c r="F305" s="114" t="s">
        <v>111</v>
      </c>
    </row>
    <row r="306" spans="1:6" x14ac:dyDescent="0.25">
      <c r="A306" s="113">
        <v>45969</v>
      </c>
      <c r="B306" t="s">
        <v>55</v>
      </c>
      <c r="C306" s="11">
        <v>2775</v>
      </c>
      <c r="D306" s="11"/>
      <c r="F306" s="114" t="s">
        <v>111</v>
      </c>
    </row>
    <row r="307" spans="1:6" x14ac:dyDescent="0.25">
      <c r="A307" s="113">
        <v>45969</v>
      </c>
      <c r="B307" t="s">
        <v>191</v>
      </c>
      <c r="C307" s="11">
        <v>7000</v>
      </c>
      <c r="D307" s="11"/>
      <c r="E307" t="s">
        <v>270</v>
      </c>
      <c r="F307" s="114" t="s">
        <v>111</v>
      </c>
    </row>
    <row r="308" spans="1:6" x14ac:dyDescent="0.25">
      <c r="A308" s="113">
        <v>45969</v>
      </c>
      <c r="B308" t="s">
        <v>97</v>
      </c>
      <c r="C308" s="11">
        <v>300800</v>
      </c>
      <c r="D308" s="11"/>
      <c r="E308" t="s">
        <v>396</v>
      </c>
      <c r="F308" s="114" t="s">
        <v>111</v>
      </c>
    </row>
    <row r="309" spans="1:6" x14ac:dyDescent="0.25">
      <c r="A309" s="113">
        <v>45969</v>
      </c>
      <c r="B309" t="s">
        <v>50</v>
      </c>
      <c r="C309" s="11">
        <v>8000</v>
      </c>
      <c r="D309" s="11"/>
      <c r="E309" t="s">
        <v>397</v>
      </c>
      <c r="F309" s="114" t="s">
        <v>111</v>
      </c>
    </row>
    <row r="310" spans="1:6" x14ac:dyDescent="0.25">
      <c r="A310" s="113">
        <v>45969</v>
      </c>
      <c r="B310" t="s">
        <v>212</v>
      </c>
      <c r="C310" s="11">
        <v>6000</v>
      </c>
      <c r="D310" s="11"/>
      <c r="E310" t="s">
        <v>398</v>
      </c>
      <c r="F310" s="114" t="s">
        <v>111</v>
      </c>
    </row>
    <row r="311" spans="1:6" x14ac:dyDescent="0.25">
      <c r="A311" s="113">
        <v>45969</v>
      </c>
      <c r="B311" t="s">
        <v>50</v>
      </c>
      <c r="C311" s="11">
        <v>1100</v>
      </c>
      <c r="D311" s="11"/>
      <c r="E311" t="s">
        <v>399</v>
      </c>
      <c r="F311" s="114" t="s">
        <v>111</v>
      </c>
    </row>
    <row r="312" spans="1:6" x14ac:dyDescent="0.25">
      <c r="A312" s="113">
        <v>45969</v>
      </c>
      <c r="B312" t="s">
        <v>54</v>
      </c>
      <c r="C312" s="11">
        <v>2000</v>
      </c>
      <c r="D312" s="11"/>
      <c r="E312" t="s">
        <v>400</v>
      </c>
      <c r="F312" s="114" t="s">
        <v>111</v>
      </c>
    </row>
    <row r="313" spans="1:6" x14ac:dyDescent="0.25">
      <c r="A313" s="113">
        <v>45969</v>
      </c>
      <c r="B313" t="s">
        <v>212</v>
      </c>
      <c r="C313" s="11">
        <v>4000</v>
      </c>
      <c r="D313" s="11"/>
      <c r="E313" t="s">
        <v>407</v>
      </c>
      <c r="F313" s="114" t="s">
        <v>111</v>
      </c>
    </row>
    <row r="314" spans="1:6" x14ac:dyDescent="0.25">
      <c r="A314" s="113">
        <v>45970</v>
      </c>
      <c r="B314" t="s">
        <v>194</v>
      </c>
      <c r="C314" s="11">
        <v>1000</v>
      </c>
      <c r="D314" s="11"/>
      <c r="F314" s="114" t="s">
        <v>111</v>
      </c>
    </row>
    <row r="315" spans="1:6" x14ac:dyDescent="0.25">
      <c r="A315" s="113">
        <v>45970</v>
      </c>
      <c r="B315" t="s">
        <v>212</v>
      </c>
      <c r="C315" s="11">
        <v>19100</v>
      </c>
      <c r="D315" s="11"/>
      <c r="E315" t="s">
        <v>408</v>
      </c>
      <c r="F315" s="114" t="s">
        <v>111</v>
      </c>
    </row>
    <row r="316" spans="1:6" x14ac:dyDescent="0.25">
      <c r="A316" s="113">
        <v>45971</v>
      </c>
      <c r="B316" t="s">
        <v>212</v>
      </c>
      <c r="C316" s="11">
        <v>9600</v>
      </c>
      <c r="D316" s="11"/>
      <c r="E316" t="s">
        <v>220</v>
      </c>
      <c r="F316" s="114" t="s">
        <v>111</v>
      </c>
    </row>
    <row r="317" spans="1:6" x14ac:dyDescent="0.25">
      <c r="A317" s="113">
        <v>45971</v>
      </c>
      <c r="B317" t="s">
        <v>191</v>
      </c>
      <c r="C317" s="11">
        <v>5000</v>
      </c>
      <c r="D317" s="11"/>
      <c r="E317" t="s">
        <v>260</v>
      </c>
      <c r="F317" s="114" t="s">
        <v>111</v>
      </c>
    </row>
    <row r="318" spans="1:6" x14ac:dyDescent="0.25">
      <c r="A318" s="113">
        <v>45971</v>
      </c>
      <c r="B318" t="s">
        <v>191</v>
      </c>
      <c r="C318" s="11">
        <v>1000</v>
      </c>
      <c r="D318" s="11"/>
      <c r="E318" t="s">
        <v>369</v>
      </c>
      <c r="F318" s="114" t="s">
        <v>111</v>
      </c>
    </row>
    <row r="319" spans="1:6" x14ac:dyDescent="0.25">
      <c r="A319" s="113">
        <v>45971</v>
      </c>
      <c r="B319" t="s">
        <v>191</v>
      </c>
      <c r="C319" s="11">
        <v>2000</v>
      </c>
      <c r="D319" s="11"/>
      <c r="E319" t="s">
        <v>409</v>
      </c>
      <c r="F319" s="114" t="s">
        <v>111</v>
      </c>
    </row>
    <row r="320" spans="1:6" x14ac:dyDescent="0.25">
      <c r="A320" s="113">
        <v>45971</v>
      </c>
      <c r="B320" t="s">
        <v>191</v>
      </c>
      <c r="C320" s="11">
        <v>2000</v>
      </c>
      <c r="D320" s="11"/>
      <c r="E320" t="s">
        <v>410</v>
      </c>
      <c r="F320" s="114" t="s">
        <v>111</v>
      </c>
    </row>
    <row r="321" spans="1:6" x14ac:dyDescent="0.25">
      <c r="A321" s="113">
        <v>45971</v>
      </c>
      <c r="B321" t="s">
        <v>50</v>
      </c>
      <c r="C321" s="11">
        <v>500</v>
      </c>
      <c r="D321" s="11"/>
      <c r="F321" s="114" t="s">
        <v>111</v>
      </c>
    </row>
    <row r="322" spans="1:6" x14ac:dyDescent="0.25">
      <c r="A322" s="113">
        <v>45971</v>
      </c>
      <c r="B322" t="s">
        <v>194</v>
      </c>
      <c r="C322" s="11">
        <v>2000</v>
      </c>
      <c r="D322" s="11"/>
      <c r="E322" t="s">
        <v>411</v>
      </c>
      <c r="F322" s="114" t="s">
        <v>111</v>
      </c>
    </row>
    <row r="323" spans="1:6" x14ac:dyDescent="0.25">
      <c r="A323" s="113">
        <v>45971</v>
      </c>
      <c r="B323" t="s">
        <v>54</v>
      </c>
      <c r="C323" s="11">
        <v>450</v>
      </c>
      <c r="D323" s="11"/>
      <c r="E323" t="s">
        <v>217</v>
      </c>
      <c r="F323" s="114" t="s">
        <v>111</v>
      </c>
    </row>
    <row r="324" spans="1:6" x14ac:dyDescent="0.25">
      <c r="A324" s="113">
        <v>45971</v>
      </c>
      <c r="B324" t="s">
        <v>54</v>
      </c>
      <c r="C324" s="11">
        <v>2680</v>
      </c>
      <c r="D324" s="11"/>
      <c r="E324" t="s">
        <v>231</v>
      </c>
      <c r="F324" s="114" t="s">
        <v>111</v>
      </c>
    </row>
    <row r="325" spans="1:6" x14ac:dyDescent="0.25">
      <c r="A325" s="113">
        <v>45971</v>
      </c>
      <c r="B325" t="s">
        <v>116</v>
      </c>
      <c r="C325" s="11">
        <v>20000</v>
      </c>
      <c r="D325" s="11"/>
      <c r="E325" t="s">
        <v>367</v>
      </c>
      <c r="F325" s="114" t="s">
        <v>111</v>
      </c>
    </row>
    <row r="326" spans="1:6" x14ac:dyDescent="0.25">
      <c r="A326" s="113">
        <v>45971</v>
      </c>
      <c r="B326" t="s">
        <v>97</v>
      </c>
      <c r="C326" s="115">
        <v>74835</v>
      </c>
      <c r="D326" s="115"/>
      <c r="E326" t="s">
        <v>189</v>
      </c>
      <c r="F326" s="114" t="s">
        <v>111</v>
      </c>
    </row>
    <row r="327" spans="1:6" x14ac:dyDescent="0.25">
      <c r="A327" s="113">
        <v>45971</v>
      </c>
      <c r="B327" t="s">
        <v>380</v>
      </c>
      <c r="C327" s="115">
        <v>40000</v>
      </c>
      <c r="D327" s="115"/>
      <c r="E327" t="s">
        <v>412</v>
      </c>
      <c r="F327" s="114" t="s">
        <v>111</v>
      </c>
    </row>
    <row r="328" spans="1:6" x14ac:dyDescent="0.25">
      <c r="A328" s="113">
        <v>45971</v>
      </c>
      <c r="B328" t="s">
        <v>212</v>
      </c>
      <c r="C328" s="115">
        <v>2820</v>
      </c>
      <c r="D328" s="115"/>
      <c r="E328" t="s">
        <v>319</v>
      </c>
      <c r="F328" s="114" t="s">
        <v>111</v>
      </c>
    </row>
    <row r="329" spans="1:6" x14ac:dyDescent="0.25">
      <c r="A329" s="113">
        <v>45971</v>
      </c>
      <c r="B329" t="s">
        <v>55</v>
      </c>
      <c r="C329" s="115">
        <v>12780</v>
      </c>
      <c r="D329" s="115"/>
      <c r="E329" t="s">
        <v>203</v>
      </c>
      <c r="F329" s="114" t="s">
        <v>111</v>
      </c>
    </row>
    <row r="330" spans="1:6" x14ac:dyDescent="0.25">
      <c r="A330" s="113">
        <v>45971</v>
      </c>
      <c r="B330" t="s">
        <v>55</v>
      </c>
      <c r="C330" s="11">
        <v>12000</v>
      </c>
      <c r="D330" s="11"/>
      <c r="E330" t="s">
        <v>413</v>
      </c>
      <c r="F330" s="114" t="s">
        <v>111</v>
      </c>
    </row>
    <row r="331" spans="1:6" x14ac:dyDescent="0.25">
      <c r="A331" s="113">
        <v>45971</v>
      </c>
      <c r="B331" t="s">
        <v>54</v>
      </c>
      <c r="C331" s="11">
        <v>5400</v>
      </c>
      <c r="D331" s="11"/>
      <c r="E331" t="s">
        <v>231</v>
      </c>
      <c r="F331" s="114" t="s">
        <v>111</v>
      </c>
    </row>
    <row r="332" spans="1:6" x14ac:dyDescent="0.25">
      <c r="A332" s="113">
        <v>45971</v>
      </c>
      <c r="B332" t="s">
        <v>191</v>
      </c>
      <c r="C332" s="11">
        <v>15000</v>
      </c>
      <c r="D332" s="11"/>
      <c r="E332" t="s">
        <v>253</v>
      </c>
      <c r="F332" s="114" t="s">
        <v>111</v>
      </c>
    </row>
    <row r="333" spans="1:6" x14ac:dyDescent="0.25">
      <c r="A333" s="113">
        <v>45972</v>
      </c>
      <c r="B333" t="s">
        <v>54</v>
      </c>
      <c r="C333" s="11">
        <v>3000</v>
      </c>
      <c r="D333" s="11"/>
      <c r="E333" t="s">
        <v>414</v>
      </c>
      <c r="F333" s="114" t="s">
        <v>111</v>
      </c>
    </row>
    <row r="334" spans="1:6" x14ac:dyDescent="0.25">
      <c r="A334" s="113">
        <v>45972</v>
      </c>
      <c r="B334" t="s">
        <v>212</v>
      </c>
      <c r="C334" s="11">
        <v>6600</v>
      </c>
      <c r="D334" s="11"/>
      <c r="E334" t="s">
        <v>220</v>
      </c>
      <c r="F334" s="114" t="s">
        <v>111</v>
      </c>
    </row>
    <row r="335" spans="1:6" x14ac:dyDescent="0.25">
      <c r="A335" s="113">
        <v>45972</v>
      </c>
      <c r="B335" t="s">
        <v>212</v>
      </c>
      <c r="C335" s="11">
        <v>4471</v>
      </c>
      <c r="D335" s="11"/>
      <c r="E335" t="s">
        <v>415</v>
      </c>
      <c r="F335" s="114" t="s">
        <v>111</v>
      </c>
    </row>
    <row r="336" spans="1:6" x14ac:dyDescent="0.25">
      <c r="A336" s="113">
        <v>45972</v>
      </c>
      <c r="B336" t="s">
        <v>54</v>
      </c>
      <c r="C336" s="11">
        <v>2500</v>
      </c>
      <c r="D336" s="11"/>
      <c r="E336" t="s">
        <v>416</v>
      </c>
      <c r="F336" s="114" t="s">
        <v>111</v>
      </c>
    </row>
    <row r="337" spans="1:6" x14ac:dyDescent="0.25">
      <c r="A337" s="113">
        <v>45972</v>
      </c>
      <c r="B337" t="s">
        <v>152</v>
      </c>
      <c r="C337" s="11">
        <v>50000</v>
      </c>
      <c r="D337" s="11"/>
      <c r="F337" s="114" t="s">
        <v>111</v>
      </c>
    </row>
    <row r="338" spans="1:6" x14ac:dyDescent="0.25">
      <c r="A338" s="113">
        <v>45972</v>
      </c>
      <c r="B338" t="s">
        <v>97</v>
      </c>
      <c r="C338" s="11">
        <v>400000</v>
      </c>
      <c r="D338" s="11"/>
      <c r="E338" t="s">
        <v>417</v>
      </c>
      <c r="F338" s="114" t="s">
        <v>111</v>
      </c>
    </row>
    <row r="339" spans="1:6" x14ac:dyDescent="0.25">
      <c r="A339" s="113">
        <v>45972</v>
      </c>
      <c r="B339" t="s">
        <v>55</v>
      </c>
      <c r="C339" s="11">
        <f>1600+2180</f>
        <v>3780</v>
      </c>
      <c r="D339" s="11"/>
      <c r="E339" t="s">
        <v>203</v>
      </c>
      <c r="F339" s="114" t="s">
        <v>111</v>
      </c>
    </row>
    <row r="340" spans="1:6" x14ac:dyDescent="0.25">
      <c r="A340" s="113">
        <v>45972</v>
      </c>
      <c r="B340" t="s">
        <v>54</v>
      </c>
      <c r="C340" s="11">
        <v>1000</v>
      </c>
      <c r="D340" s="11"/>
      <c r="E340" t="s">
        <v>217</v>
      </c>
      <c r="F340" s="114" t="s">
        <v>111</v>
      </c>
    </row>
    <row r="341" spans="1:6" x14ac:dyDescent="0.25">
      <c r="A341" s="43">
        <v>45972</v>
      </c>
      <c r="B341" t="s">
        <v>54</v>
      </c>
      <c r="C341" s="115">
        <v>6290</v>
      </c>
      <c r="D341" s="115"/>
      <c r="E341" t="s">
        <v>231</v>
      </c>
      <c r="F341" s="114" t="s">
        <v>111</v>
      </c>
    </row>
    <row r="342" spans="1:6" x14ac:dyDescent="0.25">
      <c r="A342" s="113">
        <v>45973</v>
      </c>
      <c r="B342" t="s">
        <v>194</v>
      </c>
      <c r="C342" s="11"/>
      <c r="D342" s="11">
        <v>1000</v>
      </c>
      <c r="F342" s="114" t="s">
        <v>111</v>
      </c>
    </row>
    <row r="343" spans="1:6" x14ac:dyDescent="0.25">
      <c r="A343" s="113">
        <v>45973</v>
      </c>
      <c r="B343" t="s">
        <v>97</v>
      </c>
      <c r="C343" s="11">
        <v>77570</v>
      </c>
      <c r="D343" s="11"/>
      <c r="E343" t="s">
        <v>418</v>
      </c>
      <c r="F343" s="114" t="s">
        <v>111</v>
      </c>
    </row>
    <row r="344" spans="1:6" x14ac:dyDescent="0.25">
      <c r="A344" s="113">
        <v>45973</v>
      </c>
      <c r="B344" t="s">
        <v>97</v>
      </c>
      <c r="C344" s="11">
        <v>43800</v>
      </c>
      <c r="D344" s="11"/>
      <c r="E344" t="s">
        <v>419</v>
      </c>
      <c r="F344" s="114" t="s">
        <v>111</v>
      </c>
    </row>
    <row r="345" spans="1:6" x14ac:dyDescent="0.25">
      <c r="A345" s="113">
        <v>45973</v>
      </c>
      <c r="B345" t="s">
        <v>380</v>
      </c>
      <c r="C345" s="11">
        <v>30000</v>
      </c>
      <c r="D345" s="11"/>
      <c r="E345" t="s">
        <v>420</v>
      </c>
      <c r="F345" s="114" t="s">
        <v>111</v>
      </c>
    </row>
    <row r="346" spans="1:6" x14ac:dyDescent="0.25">
      <c r="A346" s="113">
        <v>45973</v>
      </c>
      <c r="B346" t="s">
        <v>191</v>
      </c>
      <c r="C346" s="11">
        <v>2000</v>
      </c>
      <c r="D346" s="11"/>
      <c r="E346" t="s">
        <v>254</v>
      </c>
      <c r="F346" s="114" t="s">
        <v>111</v>
      </c>
    </row>
    <row r="347" spans="1:6" x14ac:dyDescent="0.25">
      <c r="A347" s="113">
        <v>45973</v>
      </c>
      <c r="B347" t="s">
        <v>54</v>
      </c>
      <c r="C347" s="115">
        <v>3500</v>
      </c>
      <c r="D347" s="115"/>
      <c r="E347" t="s">
        <v>372</v>
      </c>
      <c r="F347" s="114" t="s">
        <v>111</v>
      </c>
    </row>
    <row r="348" spans="1:6" x14ac:dyDescent="0.25">
      <c r="A348" s="43">
        <v>45973</v>
      </c>
      <c r="B348" t="s">
        <v>50</v>
      </c>
      <c r="C348" s="115">
        <v>500</v>
      </c>
      <c r="D348" s="115"/>
      <c r="F348" s="114" t="s">
        <v>111</v>
      </c>
    </row>
    <row r="349" spans="1:6" x14ac:dyDescent="0.25">
      <c r="A349" s="43">
        <v>45973</v>
      </c>
      <c r="B349" t="s">
        <v>55</v>
      </c>
      <c r="C349" s="115">
        <v>3000</v>
      </c>
      <c r="D349" s="115"/>
      <c r="E349" t="s">
        <v>421</v>
      </c>
      <c r="F349" s="114" t="s">
        <v>111</v>
      </c>
    </row>
    <row r="350" spans="1:6" x14ac:dyDescent="0.25">
      <c r="A350" s="43">
        <v>45973</v>
      </c>
      <c r="B350" t="s">
        <v>21</v>
      </c>
      <c r="C350" s="115"/>
      <c r="D350" s="115">
        <v>122000</v>
      </c>
      <c r="F350" s="114" t="s">
        <v>111</v>
      </c>
    </row>
    <row r="351" spans="1:6" x14ac:dyDescent="0.25">
      <c r="A351" s="113">
        <v>45973</v>
      </c>
      <c r="B351" t="s">
        <v>55</v>
      </c>
      <c r="C351" s="11">
        <v>600</v>
      </c>
      <c r="D351" s="11"/>
      <c r="E351" t="s">
        <v>422</v>
      </c>
      <c r="F351" s="114" t="s">
        <v>111</v>
      </c>
    </row>
    <row r="352" spans="1:6" x14ac:dyDescent="0.25">
      <c r="A352" s="113">
        <v>45973</v>
      </c>
      <c r="B352" t="s">
        <v>54</v>
      </c>
      <c r="C352" s="11">
        <v>5000</v>
      </c>
      <c r="D352" s="11"/>
      <c r="E352" t="s">
        <v>231</v>
      </c>
      <c r="F352" s="114" t="s">
        <v>111</v>
      </c>
    </row>
    <row r="353" spans="1:6" x14ac:dyDescent="0.25">
      <c r="A353" s="113">
        <v>45974</v>
      </c>
      <c r="B353" t="s">
        <v>21</v>
      </c>
      <c r="C353" s="115"/>
      <c r="D353" s="115">
        <v>100000</v>
      </c>
      <c r="F353" s="114" t="s">
        <v>111</v>
      </c>
    </row>
    <row r="354" spans="1:6" x14ac:dyDescent="0.25">
      <c r="A354" s="113">
        <v>45974</v>
      </c>
      <c r="B354" t="s">
        <v>382</v>
      </c>
      <c r="C354" s="11">
        <v>26000</v>
      </c>
      <c r="D354" s="11"/>
      <c r="E354" t="s">
        <v>167</v>
      </c>
      <c r="F354" s="114" t="s">
        <v>111</v>
      </c>
    </row>
    <row r="355" spans="1:6" x14ac:dyDescent="0.25">
      <c r="A355" s="113">
        <v>45974</v>
      </c>
      <c r="B355" t="s">
        <v>382</v>
      </c>
      <c r="C355" s="11">
        <v>9600</v>
      </c>
      <c r="D355" s="11"/>
      <c r="E355" t="s">
        <v>238</v>
      </c>
      <c r="F355" s="114" t="s">
        <v>111</v>
      </c>
    </row>
    <row r="356" spans="1:6" x14ac:dyDescent="0.25">
      <c r="A356" s="113">
        <v>45974</v>
      </c>
      <c r="B356" t="s">
        <v>424</v>
      </c>
      <c r="C356" s="11">
        <v>37500</v>
      </c>
      <c r="D356" s="11"/>
      <c r="E356" t="s">
        <v>64</v>
      </c>
      <c r="F356" s="114" t="s">
        <v>111</v>
      </c>
    </row>
    <row r="357" spans="1:6" x14ac:dyDescent="0.25">
      <c r="A357" s="113">
        <v>45974</v>
      </c>
      <c r="B357" t="s">
        <v>212</v>
      </c>
      <c r="C357" s="11">
        <v>9400</v>
      </c>
      <c r="D357" s="11"/>
      <c r="E357" t="s">
        <v>220</v>
      </c>
      <c r="F357" s="114" t="s">
        <v>111</v>
      </c>
    </row>
    <row r="358" spans="1:6" x14ac:dyDescent="0.25">
      <c r="A358" s="113">
        <v>45974</v>
      </c>
      <c r="B358" t="s">
        <v>116</v>
      </c>
      <c r="C358" s="11">
        <v>17715</v>
      </c>
      <c r="D358" s="11"/>
      <c r="E358" t="s">
        <v>116</v>
      </c>
      <c r="F358" s="114" t="s">
        <v>111</v>
      </c>
    </row>
    <row r="359" spans="1:6" x14ac:dyDescent="0.25">
      <c r="A359" s="113">
        <v>45974</v>
      </c>
      <c r="B359" t="s">
        <v>55</v>
      </c>
      <c r="C359" s="115">
        <v>3200</v>
      </c>
      <c r="D359" s="115"/>
      <c r="E359" t="s">
        <v>425</v>
      </c>
      <c r="F359" s="114" t="s">
        <v>111</v>
      </c>
    </row>
    <row r="360" spans="1:6" x14ac:dyDescent="0.25">
      <c r="A360" s="113">
        <v>45974</v>
      </c>
      <c r="B360" t="s">
        <v>55</v>
      </c>
      <c r="C360" s="11">
        <v>2690</v>
      </c>
      <c r="D360" s="11"/>
      <c r="E360" t="s">
        <v>426</v>
      </c>
      <c r="F360" s="114" t="s">
        <v>111</v>
      </c>
    </row>
    <row r="361" spans="1:6" x14ac:dyDescent="0.25">
      <c r="A361" s="113">
        <v>45974</v>
      </c>
      <c r="B361" t="s">
        <v>55</v>
      </c>
      <c r="C361" s="11">
        <v>1250</v>
      </c>
      <c r="D361" s="11"/>
      <c r="E361" t="s">
        <v>427</v>
      </c>
      <c r="F361" s="114" t="s">
        <v>111</v>
      </c>
    </row>
    <row r="362" spans="1:6" x14ac:dyDescent="0.25">
      <c r="A362" s="113">
        <v>45974</v>
      </c>
      <c r="B362" t="s">
        <v>191</v>
      </c>
      <c r="C362" s="11">
        <v>3500</v>
      </c>
      <c r="D362" s="11"/>
      <c r="E362" t="s">
        <v>410</v>
      </c>
      <c r="F362" s="114" t="s">
        <v>111</v>
      </c>
    </row>
    <row r="363" spans="1:6" x14ac:dyDescent="0.25">
      <c r="A363" s="113">
        <v>45974</v>
      </c>
      <c r="B363" t="s">
        <v>194</v>
      </c>
      <c r="C363" s="11"/>
      <c r="D363" s="11">
        <v>7000</v>
      </c>
      <c r="E363" t="s">
        <v>428</v>
      </c>
      <c r="F363" s="114" t="s">
        <v>111</v>
      </c>
    </row>
    <row r="364" spans="1:6" x14ac:dyDescent="0.25">
      <c r="A364" s="113">
        <v>45974</v>
      </c>
      <c r="B364" t="s">
        <v>50</v>
      </c>
      <c r="C364" s="11">
        <v>2000</v>
      </c>
      <c r="D364" s="11"/>
      <c r="F364" s="114" t="s">
        <v>111</v>
      </c>
    </row>
    <row r="365" spans="1:6" x14ac:dyDescent="0.25">
      <c r="A365" s="113">
        <v>45975</v>
      </c>
      <c r="B365" t="s">
        <v>296</v>
      </c>
      <c r="C365" s="11"/>
      <c r="D365" s="11">
        <v>390000</v>
      </c>
      <c r="E365" t="s">
        <v>297</v>
      </c>
      <c r="F365" s="114" t="s">
        <v>111</v>
      </c>
    </row>
    <row r="366" spans="1:6" x14ac:dyDescent="0.25">
      <c r="A366" s="113">
        <v>45975</v>
      </c>
      <c r="B366" t="s">
        <v>212</v>
      </c>
      <c r="C366" s="11"/>
      <c r="D366" s="11">
        <v>10000</v>
      </c>
      <c r="F366" s="114" t="s">
        <v>111</v>
      </c>
    </row>
    <row r="367" spans="1:6" x14ac:dyDescent="0.25">
      <c r="A367" s="113">
        <v>45975</v>
      </c>
      <c r="B367" t="s">
        <v>194</v>
      </c>
      <c r="C367" s="11"/>
      <c r="D367" s="11">
        <v>2700</v>
      </c>
      <c r="E367" t="s">
        <v>193</v>
      </c>
      <c r="F367" s="114" t="s">
        <v>111</v>
      </c>
    </row>
    <row r="368" spans="1:6" x14ac:dyDescent="0.25">
      <c r="A368" s="113">
        <v>45975</v>
      </c>
      <c r="B368" t="s">
        <v>55</v>
      </c>
      <c r="C368" s="11">
        <v>2700</v>
      </c>
      <c r="D368" s="11"/>
      <c r="E368" t="s">
        <v>193</v>
      </c>
      <c r="F368" s="114" t="s">
        <v>111</v>
      </c>
    </row>
    <row r="369" spans="1:6" x14ac:dyDescent="0.25">
      <c r="A369" s="113">
        <v>45975</v>
      </c>
      <c r="B369" t="s">
        <v>50</v>
      </c>
      <c r="C369" s="11">
        <v>500</v>
      </c>
      <c r="D369" s="11"/>
      <c r="E369" t="s">
        <v>429</v>
      </c>
      <c r="F369" s="114" t="s">
        <v>111</v>
      </c>
    </row>
    <row r="370" spans="1:6" x14ac:dyDescent="0.25">
      <c r="A370" s="113">
        <v>45975</v>
      </c>
      <c r="B370" t="s">
        <v>206</v>
      </c>
      <c r="C370" s="11">
        <v>28000</v>
      </c>
      <c r="D370" s="11"/>
      <c r="E370" t="s">
        <v>129</v>
      </c>
      <c r="F370" s="114" t="s">
        <v>111</v>
      </c>
    </row>
    <row r="371" spans="1:6" x14ac:dyDescent="0.25">
      <c r="A371" s="113">
        <v>45975</v>
      </c>
      <c r="B371" t="s">
        <v>21</v>
      </c>
      <c r="C371" s="11"/>
      <c r="D371" s="11">
        <v>28000</v>
      </c>
      <c r="E371" t="s">
        <v>129</v>
      </c>
      <c r="F371" s="114" t="s">
        <v>111</v>
      </c>
    </row>
    <row r="372" spans="1:6" x14ac:dyDescent="0.25">
      <c r="A372" s="113">
        <v>45975</v>
      </c>
      <c r="B372" t="s">
        <v>206</v>
      </c>
      <c r="C372" s="11">
        <v>46000</v>
      </c>
      <c r="D372" s="11"/>
      <c r="E372" t="s">
        <v>430</v>
      </c>
      <c r="F372" s="114" t="s">
        <v>111</v>
      </c>
    </row>
    <row r="373" spans="1:6" x14ac:dyDescent="0.25">
      <c r="A373" s="113">
        <v>45975</v>
      </c>
      <c r="B373" t="s">
        <v>21</v>
      </c>
      <c r="C373" s="11"/>
      <c r="D373" s="11">
        <v>46000</v>
      </c>
      <c r="E373" t="s">
        <v>430</v>
      </c>
      <c r="F373" s="114" t="s">
        <v>111</v>
      </c>
    </row>
    <row r="374" spans="1:6" x14ac:dyDescent="0.25">
      <c r="A374" s="113">
        <v>45975</v>
      </c>
      <c r="B374" t="s">
        <v>206</v>
      </c>
      <c r="C374" s="115">
        <v>88500</v>
      </c>
      <c r="D374" s="115"/>
      <c r="E374" t="s">
        <v>431</v>
      </c>
      <c r="F374" s="114" t="s">
        <v>111</v>
      </c>
    </row>
    <row r="375" spans="1:6" x14ac:dyDescent="0.25">
      <c r="A375" s="113">
        <v>45975</v>
      </c>
      <c r="B375" t="s">
        <v>21</v>
      </c>
      <c r="C375" s="11"/>
      <c r="D375" s="11">
        <v>88500</v>
      </c>
      <c r="E375" t="s">
        <v>432</v>
      </c>
      <c r="F375" s="114" t="s">
        <v>111</v>
      </c>
    </row>
    <row r="376" spans="1:6" x14ac:dyDescent="0.25">
      <c r="A376" s="113">
        <v>45975</v>
      </c>
      <c r="B376" t="s">
        <v>55</v>
      </c>
      <c r="C376" s="11">
        <v>23000</v>
      </c>
      <c r="D376" s="11"/>
      <c r="E376" t="s">
        <v>433</v>
      </c>
      <c r="F376" s="114" t="s">
        <v>111</v>
      </c>
    </row>
    <row r="377" spans="1:6" x14ac:dyDescent="0.25">
      <c r="A377" s="113">
        <v>45975</v>
      </c>
      <c r="B377" t="s">
        <v>21</v>
      </c>
      <c r="C377" s="11"/>
      <c r="D377" s="11">
        <v>23000</v>
      </c>
      <c r="E377" t="s">
        <v>433</v>
      </c>
      <c r="F377" s="114" t="s">
        <v>111</v>
      </c>
    </row>
    <row r="378" spans="1:6" x14ac:dyDescent="0.25">
      <c r="A378" s="113">
        <v>45975</v>
      </c>
      <c r="B378" t="s">
        <v>52</v>
      </c>
      <c r="C378" s="11">
        <v>80000</v>
      </c>
      <c r="D378" s="11"/>
      <c r="E378" t="s">
        <v>434</v>
      </c>
      <c r="F378" s="114" t="s">
        <v>111</v>
      </c>
    </row>
    <row r="379" spans="1:6" x14ac:dyDescent="0.25">
      <c r="A379" s="113">
        <v>45975</v>
      </c>
      <c r="B379" t="s">
        <v>52</v>
      </c>
      <c r="C379" s="11">
        <v>14000</v>
      </c>
      <c r="D379" s="11"/>
      <c r="E379" t="s">
        <v>435</v>
      </c>
      <c r="F379" s="114" t="s">
        <v>111</v>
      </c>
    </row>
    <row r="380" spans="1:6" x14ac:dyDescent="0.25">
      <c r="A380" s="113">
        <v>45975</v>
      </c>
      <c r="B380" t="s">
        <v>194</v>
      </c>
      <c r="C380" s="11"/>
      <c r="D380" s="11">
        <v>14000</v>
      </c>
      <c r="E380" t="s">
        <v>435</v>
      </c>
      <c r="F380" s="114" t="s">
        <v>111</v>
      </c>
    </row>
    <row r="381" spans="1:6" x14ac:dyDescent="0.25">
      <c r="A381" s="113">
        <v>45975</v>
      </c>
      <c r="B381" t="s">
        <v>55</v>
      </c>
      <c r="C381" s="11">
        <v>7070</v>
      </c>
      <c r="D381" s="11"/>
      <c r="E381" t="s">
        <v>386</v>
      </c>
      <c r="F381" s="114" t="s">
        <v>111</v>
      </c>
    </row>
    <row r="382" spans="1:6" x14ac:dyDescent="0.25">
      <c r="A382" s="113">
        <v>45975</v>
      </c>
      <c r="B382" t="s">
        <v>194</v>
      </c>
      <c r="C382" s="11"/>
      <c r="D382" s="11">
        <v>7070</v>
      </c>
      <c r="E382" t="s">
        <v>386</v>
      </c>
      <c r="F382" s="114" t="s">
        <v>111</v>
      </c>
    </row>
    <row r="383" spans="1:6" x14ac:dyDescent="0.25">
      <c r="A383" s="113">
        <v>45975</v>
      </c>
      <c r="B383" t="s">
        <v>55</v>
      </c>
      <c r="C383" s="11">
        <v>850</v>
      </c>
      <c r="D383" s="11"/>
      <c r="E383" t="s">
        <v>436</v>
      </c>
      <c r="F383" s="114" t="s">
        <v>111</v>
      </c>
    </row>
    <row r="384" spans="1:6" x14ac:dyDescent="0.25">
      <c r="A384" s="113">
        <v>45975</v>
      </c>
      <c r="B384" t="s">
        <v>194</v>
      </c>
      <c r="C384" s="11"/>
      <c r="D384" s="11">
        <v>850</v>
      </c>
      <c r="E384" t="s">
        <v>437</v>
      </c>
      <c r="F384" s="114" t="s">
        <v>111</v>
      </c>
    </row>
    <row r="385" spans="1:6" x14ac:dyDescent="0.25">
      <c r="A385" s="113">
        <v>45975</v>
      </c>
      <c r="B385" t="s">
        <v>50</v>
      </c>
      <c r="C385" s="11">
        <v>700</v>
      </c>
      <c r="D385" s="11"/>
      <c r="E385" t="s">
        <v>344</v>
      </c>
      <c r="F385" s="114" t="s">
        <v>111</v>
      </c>
    </row>
    <row r="386" spans="1:6" x14ac:dyDescent="0.25">
      <c r="A386" s="113">
        <v>45975</v>
      </c>
      <c r="B386" t="s">
        <v>52</v>
      </c>
      <c r="C386" s="11">
        <v>1000</v>
      </c>
      <c r="D386" s="11"/>
      <c r="E386" t="s">
        <v>438</v>
      </c>
      <c r="F386" s="114" t="s">
        <v>111</v>
      </c>
    </row>
    <row r="387" spans="1:6" x14ac:dyDescent="0.25">
      <c r="A387" s="113">
        <v>45975</v>
      </c>
      <c r="B387" t="s">
        <v>54</v>
      </c>
      <c r="C387" s="11">
        <v>2700</v>
      </c>
      <c r="D387" s="11"/>
      <c r="E387" t="s">
        <v>416</v>
      </c>
      <c r="F387" s="114" t="s">
        <v>111</v>
      </c>
    </row>
    <row r="388" spans="1:6" x14ac:dyDescent="0.25">
      <c r="A388" s="113">
        <v>45975</v>
      </c>
      <c r="B388" t="s">
        <v>194</v>
      </c>
      <c r="C388" s="11"/>
      <c r="D388" s="11">
        <v>2700</v>
      </c>
      <c r="E388" t="s">
        <v>416</v>
      </c>
      <c r="F388" s="114" t="s">
        <v>111</v>
      </c>
    </row>
    <row r="389" spans="1:6" x14ac:dyDescent="0.25">
      <c r="A389" s="113">
        <v>45975</v>
      </c>
      <c r="B389" t="s">
        <v>97</v>
      </c>
      <c r="C389" s="11">
        <v>250100</v>
      </c>
      <c r="D389" s="11"/>
      <c r="E389" t="s">
        <v>439</v>
      </c>
      <c r="F389" s="114" t="s">
        <v>111</v>
      </c>
    </row>
    <row r="390" spans="1:6" x14ac:dyDescent="0.25">
      <c r="A390" s="113">
        <v>45975</v>
      </c>
      <c r="B390" t="s">
        <v>212</v>
      </c>
      <c r="C390" s="11">
        <v>500</v>
      </c>
      <c r="D390" s="11"/>
      <c r="E390" t="s">
        <v>317</v>
      </c>
      <c r="F390" s="114" t="s">
        <v>111</v>
      </c>
    </row>
    <row r="391" spans="1:6" x14ac:dyDescent="0.25">
      <c r="A391" s="113">
        <v>45975</v>
      </c>
      <c r="B391" t="s">
        <v>212</v>
      </c>
      <c r="C391" s="11">
        <v>500</v>
      </c>
      <c r="D391" s="11"/>
      <c r="E391" t="s">
        <v>440</v>
      </c>
      <c r="F391" s="114" t="s">
        <v>111</v>
      </c>
    </row>
    <row r="392" spans="1:6" x14ac:dyDescent="0.25">
      <c r="A392" s="113">
        <v>45976</v>
      </c>
      <c r="B392" t="s">
        <v>52</v>
      </c>
      <c r="C392" s="11">
        <v>878020</v>
      </c>
      <c r="D392" s="11"/>
      <c r="E392" t="s">
        <v>334</v>
      </c>
      <c r="F392" s="114" t="s">
        <v>111</v>
      </c>
    </row>
    <row r="393" spans="1:6" x14ac:dyDescent="0.25">
      <c r="A393" s="113">
        <v>45976</v>
      </c>
      <c r="B393" t="s">
        <v>27</v>
      </c>
      <c r="C393" s="11"/>
      <c r="D393" s="11">
        <v>300000</v>
      </c>
      <c r="F393" s="114" t="s">
        <v>111</v>
      </c>
    </row>
    <row r="394" spans="1:6" x14ac:dyDescent="0.25">
      <c r="A394" s="113">
        <v>45976</v>
      </c>
      <c r="B394" t="s">
        <v>170</v>
      </c>
      <c r="C394" s="11"/>
      <c r="D394" s="11">
        <v>470000</v>
      </c>
      <c r="F394" s="114" t="s">
        <v>111</v>
      </c>
    </row>
    <row r="395" spans="1:6" x14ac:dyDescent="0.25">
      <c r="A395" s="113">
        <v>45976</v>
      </c>
      <c r="B395" t="s">
        <v>21</v>
      </c>
      <c r="C395" s="11"/>
      <c r="D395" s="11">
        <v>120000</v>
      </c>
      <c r="F395" s="114" t="s">
        <v>111</v>
      </c>
    </row>
    <row r="396" spans="1:6" x14ac:dyDescent="0.25">
      <c r="A396" s="113">
        <v>45976</v>
      </c>
      <c r="B396" t="s">
        <v>194</v>
      </c>
      <c r="C396" s="11"/>
      <c r="D396" s="11">
        <v>44000</v>
      </c>
      <c r="E396" t="s">
        <v>442</v>
      </c>
      <c r="F396" s="114" t="s">
        <v>111</v>
      </c>
    </row>
    <row r="397" spans="1:6" x14ac:dyDescent="0.25">
      <c r="A397" s="113">
        <v>45976</v>
      </c>
      <c r="B397" t="s">
        <v>194</v>
      </c>
      <c r="C397" s="11"/>
      <c r="D397" s="11">
        <v>20000</v>
      </c>
      <c r="E397" t="s">
        <v>443</v>
      </c>
      <c r="F397" s="114" t="s">
        <v>111</v>
      </c>
    </row>
    <row r="398" spans="1:6" x14ac:dyDescent="0.25">
      <c r="A398" s="113">
        <v>45976</v>
      </c>
      <c r="B398" t="s">
        <v>212</v>
      </c>
      <c r="C398" s="11">
        <v>13700</v>
      </c>
      <c r="D398" s="11"/>
      <c r="E398" t="s">
        <v>444</v>
      </c>
      <c r="F398" s="114" t="s">
        <v>111</v>
      </c>
    </row>
    <row r="399" spans="1:6" x14ac:dyDescent="0.25">
      <c r="A399" s="113">
        <v>45976</v>
      </c>
      <c r="B399" t="s">
        <v>212</v>
      </c>
      <c r="C399" s="11">
        <v>10900</v>
      </c>
      <c r="D399" s="11"/>
      <c r="E399" t="s">
        <v>265</v>
      </c>
      <c r="F399" s="114" t="s">
        <v>111</v>
      </c>
    </row>
    <row r="400" spans="1:6" x14ac:dyDescent="0.25">
      <c r="A400" s="113">
        <v>45976</v>
      </c>
      <c r="B400" t="s">
        <v>54</v>
      </c>
      <c r="C400" s="11">
        <v>3500</v>
      </c>
      <c r="D400" s="11"/>
      <c r="E400" t="s">
        <v>416</v>
      </c>
      <c r="F400" s="114" t="s">
        <v>111</v>
      </c>
    </row>
    <row r="401" spans="1:6" x14ac:dyDescent="0.25">
      <c r="A401" s="113">
        <v>45976</v>
      </c>
      <c r="B401" t="s">
        <v>52</v>
      </c>
      <c r="C401" s="11">
        <v>75000</v>
      </c>
      <c r="D401" s="11"/>
      <c r="E401" t="s">
        <v>270</v>
      </c>
      <c r="F401" s="114" t="s">
        <v>111</v>
      </c>
    </row>
    <row r="402" spans="1:6" x14ac:dyDescent="0.25">
      <c r="A402" s="113">
        <v>45976</v>
      </c>
      <c r="B402" t="s">
        <v>52</v>
      </c>
      <c r="C402" s="11">
        <v>2000</v>
      </c>
      <c r="D402" s="11"/>
      <c r="E402" t="s">
        <v>369</v>
      </c>
      <c r="F402" s="114" t="s">
        <v>111</v>
      </c>
    </row>
    <row r="403" spans="1:6" x14ac:dyDescent="0.25">
      <c r="A403" s="113">
        <v>45976</v>
      </c>
      <c r="B403" t="s">
        <v>55</v>
      </c>
      <c r="C403" s="11">
        <v>20000</v>
      </c>
      <c r="D403" s="11"/>
      <c r="E403" t="s">
        <v>445</v>
      </c>
      <c r="F403" s="114" t="s">
        <v>111</v>
      </c>
    </row>
    <row r="404" spans="1:6" x14ac:dyDescent="0.25">
      <c r="A404" s="113">
        <v>45976</v>
      </c>
      <c r="B404" t="s">
        <v>21</v>
      </c>
      <c r="C404" s="11"/>
      <c r="D404" s="11">
        <v>20000</v>
      </c>
      <c r="E404" t="s">
        <v>445</v>
      </c>
      <c r="F404" s="114" t="s">
        <v>111</v>
      </c>
    </row>
    <row r="405" spans="1:6" x14ac:dyDescent="0.25">
      <c r="A405" s="113">
        <v>45976</v>
      </c>
      <c r="B405" t="s">
        <v>55</v>
      </c>
      <c r="C405" s="11">
        <v>25000</v>
      </c>
      <c r="D405" s="11"/>
      <c r="E405" t="s">
        <v>446</v>
      </c>
      <c r="F405" s="114" t="s">
        <v>111</v>
      </c>
    </row>
    <row r="406" spans="1:6" x14ac:dyDescent="0.25">
      <c r="A406" s="113">
        <v>45976</v>
      </c>
      <c r="B406" t="s">
        <v>21</v>
      </c>
      <c r="C406" s="11"/>
      <c r="D406" s="11">
        <v>25000</v>
      </c>
      <c r="E406" t="s">
        <v>446</v>
      </c>
      <c r="F406" s="114" t="s">
        <v>111</v>
      </c>
    </row>
    <row r="407" spans="1:6" x14ac:dyDescent="0.25">
      <c r="A407" s="113">
        <v>45976</v>
      </c>
      <c r="B407" t="s">
        <v>55</v>
      </c>
      <c r="C407" s="11">
        <v>2780</v>
      </c>
      <c r="D407" s="11"/>
      <c r="E407" t="s">
        <v>263</v>
      </c>
      <c r="F407" s="114" t="s">
        <v>111</v>
      </c>
    </row>
    <row r="408" spans="1:6" x14ac:dyDescent="0.25">
      <c r="A408" s="113">
        <v>45976</v>
      </c>
      <c r="B408" t="s">
        <v>194</v>
      </c>
      <c r="C408" s="115"/>
      <c r="D408" s="115">
        <v>2780</v>
      </c>
      <c r="E408" t="s">
        <v>263</v>
      </c>
      <c r="F408" s="114" t="s">
        <v>111</v>
      </c>
    </row>
    <row r="409" spans="1:6" x14ac:dyDescent="0.25">
      <c r="A409" s="43">
        <v>45976</v>
      </c>
      <c r="B409" t="s">
        <v>50</v>
      </c>
      <c r="C409" s="115">
        <f>1250+1000+1000+2060</f>
        <v>5310</v>
      </c>
      <c r="D409" s="115"/>
      <c r="E409" t="s">
        <v>447</v>
      </c>
      <c r="F409" s="114" t="s">
        <v>111</v>
      </c>
    </row>
    <row r="410" spans="1:6" x14ac:dyDescent="0.25">
      <c r="A410" s="43">
        <v>45976</v>
      </c>
      <c r="B410" t="s">
        <v>194</v>
      </c>
      <c r="C410" s="115"/>
      <c r="D410" s="115">
        <v>2060</v>
      </c>
      <c r="E410" t="s">
        <v>447</v>
      </c>
      <c r="F410" s="114" t="s">
        <v>111</v>
      </c>
    </row>
    <row r="411" spans="1:6" x14ac:dyDescent="0.25">
      <c r="A411" s="43">
        <v>45976</v>
      </c>
      <c r="B411" t="s">
        <v>54</v>
      </c>
      <c r="C411" s="115">
        <v>5000</v>
      </c>
      <c r="D411" s="115"/>
      <c r="E411" t="s">
        <v>231</v>
      </c>
      <c r="F411" s="114" t="s">
        <v>111</v>
      </c>
    </row>
    <row r="412" spans="1:6" x14ac:dyDescent="0.25">
      <c r="A412" s="43">
        <v>45976</v>
      </c>
      <c r="B412" t="s">
        <v>52</v>
      </c>
      <c r="C412" s="115">
        <v>20000</v>
      </c>
      <c r="D412" s="115"/>
      <c r="E412" t="s">
        <v>448</v>
      </c>
      <c r="F412" s="114" t="s">
        <v>111</v>
      </c>
    </row>
    <row r="413" spans="1:6" x14ac:dyDescent="0.25">
      <c r="A413" s="43">
        <v>45976</v>
      </c>
      <c r="B413" t="s">
        <v>54</v>
      </c>
      <c r="C413" s="115">
        <v>2800</v>
      </c>
      <c r="D413" s="115"/>
      <c r="E413" t="s">
        <v>416</v>
      </c>
      <c r="F413" s="114" t="s">
        <v>111</v>
      </c>
    </row>
    <row r="414" spans="1:6" x14ac:dyDescent="0.25">
      <c r="A414" s="43">
        <v>45976</v>
      </c>
      <c r="B414" t="s">
        <v>212</v>
      </c>
      <c r="C414" s="115">
        <v>5000</v>
      </c>
      <c r="D414" s="115"/>
      <c r="E414" t="s">
        <v>317</v>
      </c>
      <c r="F414" s="114" t="s">
        <v>111</v>
      </c>
    </row>
    <row r="415" spans="1:6" x14ac:dyDescent="0.25">
      <c r="A415" s="113">
        <v>45977</v>
      </c>
      <c r="B415" t="s">
        <v>198</v>
      </c>
      <c r="C415" s="11"/>
      <c r="D415" s="11">
        <v>1000000</v>
      </c>
      <c r="E415" t="s">
        <v>450</v>
      </c>
      <c r="F415" s="114" t="s">
        <v>111</v>
      </c>
    </row>
    <row r="416" spans="1:6" x14ac:dyDescent="0.25">
      <c r="A416" s="113">
        <v>45977</v>
      </c>
      <c r="B416" t="s">
        <v>451</v>
      </c>
      <c r="C416" s="11">
        <v>1000000</v>
      </c>
      <c r="D416" s="11"/>
      <c r="E416" t="s">
        <v>198</v>
      </c>
      <c r="F416" s="114" t="s">
        <v>111</v>
      </c>
    </row>
    <row r="417" spans="1:6" x14ac:dyDescent="0.25">
      <c r="A417" s="43">
        <v>45977</v>
      </c>
      <c r="B417" t="s">
        <v>212</v>
      </c>
      <c r="C417" s="115">
        <f>1200+2130</f>
        <v>3330</v>
      </c>
      <c r="D417" s="115"/>
      <c r="E417" t="s">
        <v>247</v>
      </c>
      <c r="F417" s="114" t="s">
        <v>111</v>
      </c>
    </row>
    <row r="418" spans="1:6" x14ac:dyDescent="0.25">
      <c r="A418" s="113">
        <v>45977</v>
      </c>
      <c r="B418" t="s">
        <v>212</v>
      </c>
      <c r="C418" s="11"/>
      <c r="D418" s="11">
        <v>10000</v>
      </c>
      <c r="E418" t="s">
        <v>452</v>
      </c>
      <c r="F418" s="114" t="s">
        <v>111</v>
      </c>
    </row>
    <row r="419" spans="1:6" x14ac:dyDescent="0.25">
      <c r="A419" s="43">
        <v>45978</v>
      </c>
      <c r="B419" t="s">
        <v>212</v>
      </c>
      <c r="C419" s="115">
        <v>2000</v>
      </c>
      <c r="D419" s="115"/>
      <c r="E419" t="s">
        <v>453</v>
      </c>
      <c r="F419" s="114" t="s">
        <v>111</v>
      </c>
    </row>
    <row r="420" spans="1:6" x14ac:dyDescent="0.25">
      <c r="A420" s="113">
        <v>45978</v>
      </c>
      <c r="B420" t="s">
        <v>212</v>
      </c>
      <c r="C420" s="11">
        <v>1080</v>
      </c>
      <c r="D420" s="11"/>
      <c r="E420" t="s">
        <v>454</v>
      </c>
      <c r="F420" s="114" t="s">
        <v>111</v>
      </c>
    </row>
    <row r="421" spans="1:6" x14ac:dyDescent="0.25">
      <c r="A421" s="43">
        <v>45978</v>
      </c>
      <c r="B421" t="s">
        <v>55</v>
      </c>
      <c r="C421" s="11">
        <v>900</v>
      </c>
      <c r="D421" s="11"/>
      <c r="E421" t="s">
        <v>426</v>
      </c>
      <c r="F421" s="114" t="s">
        <v>111</v>
      </c>
    </row>
    <row r="422" spans="1:6" x14ac:dyDescent="0.25">
      <c r="A422" s="113">
        <v>45978</v>
      </c>
      <c r="B422" t="s">
        <v>21</v>
      </c>
      <c r="C422" s="11"/>
      <c r="D422" s="11">
        <v>24000</v>
      </c>
      <c r="E422" t="s">
        <v>432</v>
      </c>
      <c r="F422" s="114" t="s">
        <v>111</v>
      </c>
    </row>
    <row r="423" spans="1:6" x14ac:dyDescent="0.25">
      <c r="A423" s="43">
        <v>45978</v>
      </c>
      <c r="B423" t="s">
        <v>382</v>
      </c>
      <c r="C423" s="11">
        <v>26000</v>
      </c>
      <c r="D423" s="11"/>
      <c r="E423" t="s">
        <v>167</v>
      </c>
      <c r="F423" s="114" t="s">
        <v>111</v>
      </c>
    </row>
    <row r="424" spans="1:6" x14ac:dyDescent="0.25">
      <c r="A424" s="113">
        <v>45978</v>
      </c>
      <c r="B424" t="s">
        <v>206</v>
      </c>
      <c r="C424" s="11">
        <v>28000</v>
      </c>
      <c r="D424" s="11"/>
      <c r="E424" t="s">
        <v>129</v>
      </c>
      <c r="F424" s="114" t="s">
        <v>111</v>
      </c>
    </row>
    <row r="425" spans="1:6" x14ac:dyDescent="0.25">
      <c r="A425" s="43">
        <v>45978</v>
      </c>
      <c r="B425" t="s">
        <v>9</v>
      </c>
      <c r="C425" s="115"/>
      <c r="D425" s="115">
        <v>50000</v>
      </c>
      <c r="E425" t="s">
        <v>452</v>
      </c>
      <c r="F425" s="114" t="s">
        <v>111</v>
      </c>
    </row>
    <row r="426" spans="1:6" x14ac:dyDescent="0.25">
      <c r="A426" s="113">
        <v>45978</v>
      </c>
      <c r="B426" t="s">
        <v>55</v>
      </c>
      <c r="C426" s="11">
        <v>20000</v>
      </c>
      <c r="D426" s="11"/>
      <c r="E426" t="s">
        <v>455</v>
      </c>
      <c r="F426" s="114" t="s">
        <v>111</v>
      </c>
    </row>
    <row r="427" spans="1:6" x14ac:dyDescent="0.25">
      <c r="A427" s="43">
        <v>45978</v>
      </c>
      <c r="B427" t="s">
        <v>21</v>
      </c>
      <c r="C427" s="11"/>
      <c r="D427" s="11">
        <v>3500</v>
      </c>
      <c r="E427" t="s">
        <v>456</v>
      </c>
      <c r="F427" s="114" t="s">
        <v>111</v>
      </c>
    </row>
    <row r="428" spans="1:6" x14ac:dyDescent="0.25">
      <c r="A428" s="113">
        <v>45978</v>
      </c>
      <c r="B428" t="s">
        <v>50</v>
      </c>
      <c r="C428" s="11">
        <v>3000</v>
      </c>
      <c r="D428" s="11"/>
      <c r="E428" t="s">
        <v>456</v>
      </c>
      <c r="F428" s="114" t="s">
        <v>111</v>
      </c>
    </row>
    <row r="429" spans="1:6" x14ac:dyDescent="0.25">
      <c r="A429" s="43">
        <v>45978</v>
      </c>
      <c r="B429" t="s">
        <v>194</v>
      </c>
      <c r="C429" s="11">
        <v>500</v>
      </c>
      <c r="D429" s="11"/>
      <c r="F429" s="114" t="s">
        <v>111</v>
      </c>
    </row>
    <row r="430" spans="1:6" x14ac:dyDescent="0.25">
      <c r="A430" s="113">
        <v>45978</v>
      </c>
      <c r="B430" t="s">
        <v>54</v>
      </c>
      <c r="C430" s="11">
        <v>2100</v>
      </c>
      <c r="D430" s="11"/>
      <c r="E430" t="s">
        <v>457</v>
      </c>
      <c r="F430" s="114" t="s">
        <v>111</v>
      </c>
    </row>
    <row r="431" spans="1:6" x14ac:dyDescent="0.25">
      <c r="A431" s="43">
        <v>45978</v>
      </c>
      <c r="B431" t="s">
        <v>194</v>
      </c>
      <c r="C431" s="11"/>
      <c r="D431" s="11">
        <v>2100</v>
      </c>
      <c r="E431" t="s">
        <v>457</v>
      </c>
      <c r="F431" s="114" t="s">
        <v>111</v>
      </c>
    </row>
    <row r="432" spans="1:6" x14ac:dyDescent="0.25">
      <c r="A432" s="113">
        <v>45978</v>
      </c>
      <c r="B432" t="s">
        <v>116</v>
      </c>
      <c r="C432" s="11">
        <v>2330</v>
      </c>
      <c r="D432" s="11"/>
      <c r="E432" s="1">
        <v>45978</v>
      </c>
      <c r="F432" s="114" t="s">
        <v>111</v>
      </c>
    </row>
    <row r="433" spans="1:6" x14ac:dyDescent="0.25">
      <c r="A433" s="43">
        <v>45978</v>
      </c>
      <c r="B433" t="s">
        <v>194</v>
      </c>
      <c r="C433" s="11"/>
      <c r="D433" s="11">
        <v>2330</v>
      </c>
      <c r="E433" t="s">
        <v>116</v>
      </c>
      <c r="F433" s="114" t="s">
        <v>111</v>
      </c>
    </row>
    <row r="434" spans="1:6" x14ac:dyDescent="0.25">
      <c r="A434" s="113">
        <v>45978</v>
      </c>
      <c r="B434" t="s">
        <v>21</v>
      </c>
      <c r="C434" s="11"/>
      <c r="D434" s="11">
        <v>55000</v>
      </c>
      <c r="E434" t="s">
        <v>452</v>
      </c>
      <c r="F434" s="114" t="s">
        <v>111</v>
      </c>
    </row>
    <row r="435" spans="1:6" x14ac:dyDescent="0.25">
      <c r="A435" s="43">
        <v>45978</v>
      </c>
      <c r="B435" t="s">
        <v>212</v>
      </c>
      <c r="C435" s="11">
        <v>7200</v>
      </c>
      <c r="D435" s="11"/>
      <c r="E435" t="s">
        <v>220</v>
      </c>
      <c r="F435" s="114" t="s">
        <v>111</v>
      </c>
    </row>
    <row r="436" spans="1:6" x14ac:dyDescent="0.25">
      <c r="A436" s="113">
        <v>45978</v>
      </c>
      <c r="B436" t="s">
        <v>212</v>
      </c>
      <c r="C436" s="11">
        <v>13000</v>
      </c>
      <c r="D436" s="11"/>
      <c r="E436" t="s">
        <v>317</v>
      </c>
      <c r="F436" s="114" t="s">
        <v>111</v>
      </c>
    </row>
    <row r="437" spans="1:6" x14ac:dyDescent="0.25">
      <c r="A437" s="43">
        <v>45978</v>
      </c>
      <c r="B437" t="s">
        <v>212</v>
      </c>
      <c r="C437" s="11">
        <v>2000</v>
      </c>
      <c r="D437" s="11"/>
      <c r="E437" t="s">
        <v>458</v>
      </c>
      <c r="F437" s="114" t="s">
        <v>111</v>
      </c>
    </row>
    <row r="438" spans="1:6" x14ac:dyDescent="0.25">
      <c r="A438" s="113">
        <v>45978</v>
      </c>
      <c r="B438" t="s">
        <v>52</v>
      </c>
      <c r="C438" s="11">
        <v>7600</v>
      </c>
      <c r="D438" s="11"/>
      <c r="E438" t="s">
        <v>459</v>
      </c>
      <c r="F438" s="114" t="s">
        <v>111</v>
      </c>
    </row>
    <row r="439" spans="1:6" x14ac:dyDescent="0.25">
      <c r="A439" s="43">
        <v>45978</v>
      </c>
      <c r="B439" t="s">
        <v>52</v>
      </c>
      <c r="C439" s="11">
        <v>13500</v>
      </c>
      <c r="D439" s="11"/>
      <c r="E439" t="s">
        <v>460</v>
      </c>
      <c r="F439" s="114" t="s">
        <v>111</v>
      </c>
    </row>
    <row r="440" spans="1:6" x14ac:dyDescent="0.25">
      <c r="A440" s="113">
        <v>45978</v>
      </c>
      <c r="B440" t="s">
        <v>52</v>
      </c>
      <c r="C440" s="11">
        <v>5000</v>
      </c>
      <c r="D440" s="11"/>
      <c r="E440" t="s">
        <v>369</v>
      </c>
      <c r="F440" s="114" t="s">
        <v>111</v>
      </c>
    </row>
    <row r="441" spans="1:6" x14ac:dyDescent="0.25">
      <c r="A441" s="43">
        <v>45978</v>
      </c>
      <c r="B441" t="s">
        <v>52</v>
      </c>
      <c r="C441" s="11">
        <v>33000</v>
      </c>
      <c r="D441" s="11"/>
      <c r="E441" t="s">
        <v>461</v>
      </c>
      <c r="F441" s="114" t="s">
        <v>111</v>
      </c>
    </row>
    <row r="442" spans="1:6" x14ac:dyDescent="0.25">
      <c r="A442" s="113">
        <v>45978</v>
      </c>
      <c r="B442" t="s">
        <v>9</v>
      </c>
      <c r="C442" s="11"/>
      <c r="D442" s="11">
        <v>159000</v>
      </c>
      <c r="E442" t="s">
        <v>462</v>
      </c>
      <c r="F442" s="114" t="s">
        <v>111</v>
      </c>
    </row>
    <row r="443" spans="1:6" x14ac:dyDescent="0.25">
      <c r="A443" s="43">
        <v>45978</v>
      </c>
      <c r="B443" t="s">
        <v>97</v>
      </c>
      <c r="C443" s="11">
        <v>74500</v>
      </c>
      <c r="D443" s="11"/>
      <c r="E443" t="s">
        <v>189</v>
      </c>
      <c r="F443" s="114" t="s">
        <v>111</v>
      </c>
    </row>
    <row r="444" spans="1:6" x14ac:dyDescent="0.25">
      <c r="A444" s="113">
        <v>45978</v>
      </c>
      <c r="B444" t="s">
        <v>97</v>
      </c>
      <c r="C444" s="11">
        <v>71900</v>
      </c>
      <c r="D444" s="11"/>
      <c r="E444" t="s">
        <v>364</v>
      </c>
      <c r="F444" s="114" t="s">
        <v>111</v>
      </c>
    </row>
    <row r="445" spans="1:6" x14ac:dyDescent="0.25">
      <c r="A445" s="43">
        <v>45978</v>
      </c>
      <c r="B445" t="s">
        <v>22</v>
      </c>
      <c r="C445" s="11"/>
      <c r="D445" s="11">
        <v>100000</v>
      </c>
      <c r="F445" s="114" t="s">
        <v>111</v>
      </c>
    </row>
    <row r="446" spans="1:6" x14ac:dyDescent="0.25">
      <c r="A446" s="113">
        <v>45978</v>
      </c>
      <c r="B446" t="s">
        <v>21</v>
      </c>
      <c r="C446" s="11"/>
      <c r="D446" s="11">
        <v>201000</v>
      </c>
      <c r="E446" t="s">
        <v>463</v>
      </c>
      <c r="F446" s="114" t="s">
        <v>111</v>
      </c>
    </row>
    <row r="447" spans="1:6" x14ac:dyDescent="0.25">
      <c r="A447" s="43">
        <v>45978</v>
      </c>
      <c r="B447" t="s">
        <v>380</v>
      </c>
      <c r="C447" s="11">
        <v>201000</v>
      </c>
      <c r="D447" s="11"/>
      <c r="E447" t="s">
        <v>452</v>
      </c>
      <c r="F447" s="114" t="s">
        <v>111</v>
      </c>
    </row>
    <row r="448" spans="1:6" x14ac:dyDescent="0.25">
      <c r="A448" s="43">
        <v>45979</v>
      </c>
      <c r="B448" t="s">
        <v>55</v>
      </c>
      <c r="C448" s="115">
        <v>5860</v>
      </c>
      <c r="D448" s="115"/>
      <c r="E448" t="s">
        <v>275</v>
      </c>
      <c r="F448" s="114" t="s">
        <v>111</v>
      </c>
    </row>
    <row r="449" spans="1:6" x14ac:dyDescent="0.25">
      <c r="A449" s="43">
        <v>45979</v>
      </c>
      <c r="B449" t="s">
        <v>21</v>
      </c>
      <c r="C449" s="115"/>
      <c r="D449" s="115">
        <v>5860</v>
      </c>
      <c r="E449" t="s">
        <v>275</v>
      </c>
      <c r="F449" s="114" t="s">
        <v>111</v>
      </c>
    </row>
    <row r="450" spans="1:6" x14ac:dyDescent="0.25">
      <c r="A450" s="43">
        <v>45979</v>
      </c>
      <c r="B450" t="s">
        <v>54</v>
      </c>
      <c r="C450" s="115">
        <v>800</v>
      </c>
      <c r="D450" s="115"/>
      <c r="E450" t="s">
        <v>416</v>
      </c>
      <c r="F450" s="114" t="s">
        <v>111</v>
      </c>
    </row>
    <row r="451" spans="1:6" x14ac:dyDescent="0.25">
      <c r="A451" s="43">
        <v>45979</v>
      </c>
      <c r="B451" t="s">
        <v>22</v>
      </c>
      <c r="C451" s="11"/>
      <c r="D451" s="11">
        <v>104000</v>
      </c>
      <c r="E451" t="s">
        <v>464</v>
      </c>
      <c r="F451" s="114" t="s">
        <v>111</v>
      </c>
    </row>
    <row r="452" spans="1:6" x14ac:dyDescent="0.25">
      <c r="A452" s="43">
        <v>45979</v>
      </c>
      <c r="B452" t="s">
        <v>206</v>
      </c>
      <c r="C452" s="11">
        <v>110500</v>
      </c>
      <c r="D452" s="11"/>
      <c r="E452" t="s">
        <v>465</v>
      </c>
      <c r="F452" s="114" t="s">
        <v>111</v>
      </c>
    </row>
    <row r="453" spans="1:6" x14ac:dyDescent="0.25">
      <c r="A453" s="43">
        <v>45979</v>
      </c>
      <c r="B453" t="s">
        <v>21</v>
      </c>
      <c r="C453" s="11"/>
      <c r="D453" s="11">
        <v>107000</v>
      </c>
      <c r="E453" t="s">
        <v>432</v>
      </c>
      <c r="F453" s="114" t="s">
        <v>111</v>
      </c>
    </row>
    <row r="454" spans="1:6" x14ac:dyDescent="0.25">
      <c r="A454" s="43">
        <v>45979</v>
      </c>
      <c r="B454" t="s">
        <v>54</v>
      </c>
      <c r="C454" s="11">
        <v>1601</v>
      </c>
      <c r="D454" s="11"/>
      <c r="E454" t="s">
        <v>217</v>
      </c>
      <c r="F454" s="114" t="s">
        <v>111</v>
      </c>
    </row>
    <row r="455" spans="1:6" x14ac:dyDescent="0.25">
      <c r="A455" s="43">
        <v>45979</v>
      </c>
      <c r="B455" t="s">
        <v>52</v>
      </c>
      <c r="C455" s="11">
        <v>1000</v>
      </c>
      <c r="D455" s="11"/>
      <c r="E455" t="s">
        <v>466</v>
      </c>
      <c r="F455" s="114" t="s">
        <v>111</v>
      </c>
    </row>
    <row r="456" spans="1:6" x14ac:dyDescent="0.25">
      <c r="A456" s="43">
        <v>45979</v>
      </c>
      <c r="B456" t="s">
        <v>119</v>
      </c>
      <c r="C456" s="11">
        <v>10000</v>
      </c>
      <c r="D456" s="11"/>
      <c r="E456" t="s">
        <v>169</v>
      </c>
      <c r="F456" s="114" t="s">
        <v>111</v>
      </c>
    </row>
    <row r="457" spans="1:6" x14ac:dyDescent="0.25">
      <c r="A457" s="43">
        <v>45979</v>
      </c>
      <c r="B457" t="s">
        <v>21</v>
      </c>
      <c r="C457" s="11"/>
      <c r="D457" s="11">
        <v>100000</v>
      </c>
      <c r="E457" t="s">
        <v>467</v>
      </c>
      <c r="F457" s="114" t="s">
        <v>111</v>
      </c>
    </row>
    <row r="458" spans="1:6" x14ac:dyDescent="0.25">
      <c r="A458" s="43">
        <v>45979</v>
      </c>
      <c r="B458" t="s">
        <v>22</v>
      </c>
      <c r="C458" s="11"/>
      <c r="D458" s="11">
        <v>250000</v>
      </c>
      <c r="E458" t="s">
        <v>464</v>
      </c>
      <c r="F458" s="114" t="s">
        <v>111</v>
      </c>
    </row>
    <row r="459" spans="1:6" x14ac:dyDescent="0.25">
      <c r="A459" s="43">
        <v>45979</v>
      </c>
      <c r="B459" t="s">
        <v>97</v>
      </c>
      <c r="C459" s="11">
        <v>300082</v>
      </c>
      <c r="D459" s="11"/>
      <c r="E459" t="s">
        <v>468</v>
      </c>
      <c r="F459" s="114" t="s">
        <v>111</v>
      </c>
    </row>
    <row r="460" spans="1:6" x14ac:dyDescent="0.25">
      <c r="A460" s="43">
        <v>45979</v>
      </c>
      <c r="B460" t="s">
        <v>21</v>
      </c>
      <c r="C460" s="115"/>
      <c r="D460" s="115">
        <v>40000</v>
      </c>
      <c r="F460" s="114" t="s">
        <v>111</v>
      </c>
    </row>
    <row r="461" spans="1:6" x14ac:dyDescent="0.25">
      <c r="A461" s="43">
        <v>45979</v>
      </c>
      <c r="B461" t="s">
        <v>174</v>
      </c>
      <c r="C461" s="11">
        <v>140000</v>
      </c>
      <c r="D461" s="11"/>
      <c r="F461" s="114" t="s">
        <v>111</v>
      </c>
    </row>
    <row r="462" spans="1:6" x14ac:dyDescent="0.25">
      <c r="A462" s="43">
        <v>45979</v>
      </c>
      <c r="B462" t="s">
        <v>55</v>
      </c>
      <c r="C462" s="11">
        <v>8480</v>
      </c>
      <c r="D462" s="11"/>
      <c r="E462" t="s">
        <v>469</v>
      </c>
      <c r="F462" s="114" t="s">
        <v>111</v>
      </c>
    </row>
    <row r="463" spans="1:6" x14ac:dyDescent="0.25">
      <c r="A463" s="43">
        <v>45979</v>
      </c>
      <c r="B463" t="s">
        <v>116</v>
      </c>
      <c r="C463" s="11">
        <v>3120</v>
      </c>
      <c r="D463" s="11"/>
      <c r="E463" s="129">
        <v>45979</v>
      </c>
      <c r="F463" s="114" t="s">
        <v>111</v>
      </c>
    </row>
    <row r="464" spans="1:6" x14ac:dyDescent="0.25">
      <c r="A464" s="43">
        <v>45979</v>
      </c>
      <c r="B464" t="s">
        <v>116</v>
      </c>
      <c r="C464" s="11">
        <v>20000</v>
      </c>
      <c r="D464" s="11"/>
      <c r="E464" t="s">
        <v>356</v>
      </c>
      <c r="F464" s="114" t="s">
        <v>111</v>
      </c>
    </row>
    <row r="465" spans="1:6" x14ac:dyDescent="0.25">
      <c r="A465" s="43">
        <v>45979</v>
      </c>
      <c r="C465" s="11"/>
      <c r="D465" s="11"/>
      <c r="F465" s="114"/>
    </row>
    <row r="466" spans="1:6" x14ac:dyDescent="0.25">
      <c r="A466" s="43">
        <v>45979</v>
      </c>
      <c r="C466" s="11"/>
      <c r="D466" s="11"/>
      <c r="F466" s="114"/>
    </row>
    <row r="467" spans="1:6" x14ac:dyDescent="0.25">
      <c r="A467" s="43">
        <v>45979</v>
      </c>
      <c r="C467" s="11"/>
      <c r="D467" s="11"/>
      <c r="F467" s="114"/>
    </row>
    <row r="468" spans="1:6" x14ac:dyDescent="0.25">
      <c r="A468" s="43">
        <v>45979</v>
      </c>
      <c r="C468" s="11"/>
      <c r="D468" s="11"/>
      <c r="F468" s="114"/>
    </row>
    <row r="469" spans="1:6" x14ac:dyDescent="0.25">
      <c r="A469" s="43">
        <v>45979</v>
      </c>
      <c r="C469" s="11"/>
      <c r="D469" s="11"/>
      <c r="F469" s="114"/>
    </row>
    <row r="470" spans="1:6" x14ac:dyDescent="0.25">
      <c r="A470" s="43">
        <v>45979</v>
      </c>
      <c r="C470" s="11"/>
      <c r="D470" s="11"/>
      <c r="F470" s="114"/>
    </row>
    <row r="471" spans="1:6" x14ac:dyDescent="0.25">
      <c r="A471" s="43">
        <v>45979</v>
      </c>
      <c r="C471" s="11"/>
      <c r="D471" s="11"/>
      <c r="F471" s="114"/>
    </row>
    <row r="472" spans="1:6" x14ac:dyDescent="0.25">
      <c r="A472" s="43"/>
      <c r="C472" s="14">
        <f>SUBTOTAL(109,Table14[Debit])</f>
        <v>21425938</v>
      </c>
      <c r="D472" s="14">
        <f>SUBTOTAL(109,Table14[Credit])</f>
        <v>21533290</v>
      </c>
      <c r="F472" s="59">
        <f>(Table14[[#Totals],[Credit]]-Table14[[#Totals],[Debit]])</f>
        <v>107352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E12" sqref="E12"/>
    </sheetView>
  </sheetViews>
  <sheetFormatPr defaultRowHeight="15" x14ac:dyDescent="0.25"/>
  <cols>
    <col min="1" max="1" width="11.140625" customWidth="1"/>
    <col min="2" max="2" width="15.5703125" customWidth="1"/>
    <col min="3" max="3" width="11.5703125" customWidth="1"/>
    <col min="5" max="5" width="12.28515625" bestFit="1" customWidth="1"/>
    <col min="6" max="6" width="11.28515625" bestFit="1" customWidth="1"/>
    <col min="7" max="7" width="10.28515625" bestFit="1" customWidth="1"/>
    <col min="8" max="8" width="12.28515625" bestFit="1" customWidth="1"/>
    <col min="9" max="9" width="15.7109375" customWidth="1"/>
    <col min="10" max="10" width="14.42578125" bestFit="1" customWidth="1"/>
    <col min="11" max="11" width="13.42578125" bestFit="1" customWidth="1"/>
    <col min="12" max="12" width="12.42578125" bestFit="1" customWidth="1"/>
    <col min="13" max="13" width="15" bestFit="1" customWidth="1"/>
  </cols>
  <sheetData>
    <row r="1" spans="1:14" x14ac:dyDescent="0.25">
      <c r="A1" s="2" t="s">
        <v>75</v>
      </c>
      <c r="B1" s="2" t="s">
        <v>123</v>
      </c>
      <c r="C1" s="2" t="s">
        <v>124</v>
      </c>
      <c r="D1" s="8" t="s">
        <v>4</v>
      </c>
      <c r="E1" s="8" t="s">
        <v>125</v>
      </c>
      <c r="F1" s="8" t="s">
        <v>113</v>
      </c>
      <c r="G1" s="8" t="s">
        <v>95</v>
      </c>
      <c r="H1" s="8" t="s">
        <v>18</v>
      </c>
      <c r="I1" s="8" t="s">
        <v>126</v>
      </c>
    </row>
    <row r="2" spans="1:14" x14ac:dyDescent="0.25">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hidden="1" x14ac:dyDescent="0.25">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25">
      <c r="A4" s="1">
        <v>45948</v>
      </c>
      <c r="B4" t="s">
        <v>64</v>
      </c>
      <c r="F4" t="s">
        <v>118</v>
      </c>
      <c r="G4">
        <f>SUMIFS(Table14[Debit], Table14[Date], Table8[[#This Row],[Date]], Table14[Party], Table8[[#This Row],[Party]])</f>
        <v>300000</v>
      </c>
      <c r="H4">
        <f>Table8[[#This Row],[Price]]-Table8[[#This Row],[Paid]]</f>
        <v>-300000</v>
      </c>
      <c r="K4" s="1"/>
      <c r="N4" s="11"/>
    </row>
    <row r="5" spans="1:14" hidden="1" x14ac:dyDescent="0.25">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25">
      <c r="A6" s="1">
        <v>45955</v>
      </c>
      <c r="F6" t="s">
        <v>118</v>
      </c>
      <c r="G6">
        <f>SUMIFS(Table14[Debit], Table14[Date], Table8[[#This Row],[Date]], Table14[Party], Table8[[#This Row],[Party]])</f>
        <v>100000</v>
      </c>
      <c r="H6">
        <f>Table8[[#This Row],[Price]]-Table8[[#This Row],[Paid]]</f>
        <v>-100000</v>
      </c>
    </row>
    <row r="7" spans="1:14" hidden="1" x14ac:dyDescent="0.25">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hidden="1" x14ac:dyDescent="0.25">
      <c r="A8" s="1">
        <v>45961</v>
      </c>
      <c r="G8">
        <f>SUMIFS(Table14[Debit], Table14[Date], Table8[[#This Row],[Date]], Table14[Party], Table8[[#This Row],[Party]])</f>
        <v>0</v>
      </c>
      <c r="H8">
        <f>Table8[[#This Row],[Price]]-Table8[[#This Row],[Paid]]</f>
        <v>0</v>
      </c>
    </row>
    <row r="9" spans="1:14" hidden="1" x14ac:dyDescent="0.25">
      <c r="A9" s="1">
        <v>45968</v>
      </c>
      <c r="D9" s="130"/>
      <c r="E9">
        <v>161000</v>
      </c>
      <c r="F9" t="s">
        <v>206</v>
      </c>
      <c r="G9" s="130">
        <f>SUMIFS(Table14[Debit], Table14[Date], Table8[[#This Row],[Date]], Table14[Party], Table8[[#This Row],[Party]])</f>
        <v>161000</v>
      </c>
      <c r="H9" s="130">
        <f>Table8[[#This Row],[Price]]-Table8[[#This Row],[Paid]]</f>
        <v>0</v>
      </c>
      <c r="K9" s="3" t="s">
        <v>6</v>
      </c>
      <c r="L9" t="s">
        <v>130</v>
      </c>
      <c r="M9" t="s">
        <v>131</v>
      </c>
    </row>
    <row r="10" spans="1:14" hidden="1" x14ac:dyDescent="0.25">
      <c r="A10" s="1">
        <v>45962</v>
      </c>
      <c r="B10" t="s">
        <v>64</v>
      </c>
      <c r="E10">
        <v>145000</v>
      </c>
      <c r="F10" t="s">
        <v>206</v>
      </c>
      <c r="G10">
        <f>SUMIFS(Table14[Debit], Table14[Date], Table8[[#This Row],[Date]], Table14[Party], Table8[[#This Row],[Party]])</f>
        <v>145000</v>
      </c>
      <c r="H10">
        <f>Table8[[#This Row],[Price]]-Table8[[#This Row],[Paid]]</f>
        <v>0</v>
      </c>
      <c r="K10" s="27">
        <v>45947</v>
      </c>
      <c r="M10">
        <v>640125</v>
      </c>
    </row>
    <row r="11" spans="1:14" hidden="1" x14ac:dyDescent="0.25">
      <c r="A11" s="129">
        <v>45974</v>
      </c>
      <c r="B11" t="s">
        <v>165</v>
      </c>
      <c r="E11">
        <v>37500</v>
      </c>
      <c r="F11" t="s">
        <v>424</v>
      </c>
      <c r="G11">
        <f>SUMIFS(Table14[Debit], Table14[Date], Table8[[#This Row],[Date]], Table14[Party], Table8[[#This Row],[Party]])</f>
        <v>37500</v>
      </c>
      <c r="H11">
        <f>Table8[[#This Row],[Price]]-Table8[[#This Row],[Paid]]</f>
        <v>0</v>
      </c>
      <c r="K11" s="27">
        <v>45948</v>
      </c>
      <c r="L11">
        <v>162250</v>
      </c>
      <c r="M11">
        <v>-300000</v>
      </c>
    </row>
    <row r="12" spans="1:14" hidden="1" x14ac:dyDescent="0.25">
      <c r="A12" s="1">
        <v>45975</v>
      </c>
      <c r="B12" t="s">
        <v>441</v>
      </c>
      <c r="E12">
        <v>162500</v>
      </c>
      <c r="F12" t="s">
        <v>206</v>
      </c>
      <c r="G12">
        <f>SUMIFS(Table14[Debit], Table14[Date], Table8[[#This Row],[Date]], Table14[Party], Table8[[#This Row],[Party]])</f>
        <v>162500</v>
      </c>
      <c r="H12">
        <f>Table8[[#This Row],[Price]]-Table8[[#This Row],[Paid]]</f>
        <v>0</v>
      </c>
      <c r="K12" s="27">
        <v>45955</v>
      </c>
      <c r="M12">
        <v>-100000</v>
      </c>
    </row>
    <row r="13" spans="1:14" hidden="1" x14ac:dyDescent="0.25">
      <c r="A13" s="1">
        <v>45978</v>
      </c>
      <c r="B13" t="s">
        <v>129</v>
      </c>
      <c r="E13">
        <v>28000</v>
      </c>
      <c r="F13" t="s">
        <v>206</v>
      </c>
      <c r="G13">
        <f>SUMIFS(Table14[Debit], Table14[Date], Table8[[#This Row],[Date]], Table14[Party], Table8[[#This Row],[Party]])</f>
        <v>28000</v>
      </c>
      <c r="H13">
        <f>Table8[[#This Row],[Price]]-Table8[[#This Row],[Paid]]</f>
        <v>0</v>
      </c>
      <c r="K13" s="27">
        <v>45960</v>
      </c>
      <c r="L13">
        <v>73500</v>
      </c>
      <c r="M13">
        <v>0</v>
      </c>
    </row>
    <row r="14" spans="1:14" hidden="1" x14ac:dyDescent="0.25">
      <c r="A14" s="1">
        <v>45979</v>
      </c>
      <c r="B14" t="s">
        <v>470</v>
      </c>
      <c r="E14">
        <v>110500</v>
      </c>
      <c r="F14" t="s">
        <v>206</v>
      </c>
      <c r="G14">
        <f>SUMIFS(Table14[Debit], Table14[Date], Table8[[#This Row],[Date]], Table14[Party], Table8[[#This Row],[Party]])</f>
        <v>110500</v>
      </c>
      <c r="H14">
        <f>Table8[[#This Row],[Price]]-Table8[[#This Row],[Paid]]</f>
        <v>0</v>
      </c>
      <c r="K14" s="27">
        <v>45961</v>
      </c>
      <c r="M14">
        <v>0</v>
      </c>
    </row>
    <row r="15" spans="1:14" hidden="1" x14ac:dyDescent="0.25">
      <c r="G15">
        <f>SUMIFS(Table14[Debit], Table14[Date], Table8[[#This Row],[Date]], Table14[Party], Table8[[#This Row],[Party]])</f>
        <v>0</v>
      </c>
      <c r="H15">
        <f>Table8[[#This Row],[Price]]-Table8[[#This Row],[Paid]]</f>
        <v>0</v>
      </c>
      <c r="K15" s="27">
        <v>45962</v>
      </c>
      <c r="L15">
        <v>145000</v>
      </c>
      <c r="M15">
        <v>0</v>
      </c>
    </row>
    <row r="16" spans="1:14" hidden="1" x14ac:dyDescent="0.25">
      <c r="G16">
        <f>SUMIFS(Table14[Debit], Table14[Date], Table8[[#This Row],[Date]], Table14[Party], Table8[[#This Row],[Party]])</f>
        <v>0</v>
      </c>
      <c r="H16">
        <f>Table8[[#This Row],[Price]]-Table8[[#This Row],[Paid]]</f>
        <v>0</v>
      </c>
      <c r="K16" s="27">
        <v>45974</v>
      </c>
      <c r="L16">
        <v>37500</v>
      </c>
      <c r="M16">
        <v>0</v>
      </c>
    </row>
    <row r="17" spans="1:13" hidden="1" x14ac:dyDescent="0.25">
      <c r="G17">
        <f>SUMIFS(Table14[Debit], Table14[Date], Table8[[#This Row],[Date]], Table14[Party], Table8[[#This Row],[Party]])</f>
        <v>0</v>
      </c>
      <c r="H17">
        <f>Table8[[#This Row],[Price]]-Table8[[#This Row],[Paid]]</f>
        <v>0</v>
      </c>
      <c r="K17" s="27">
        <v>45975</v>
      </c>
      <c r="L17">
        <v>162500</v>
      </c>
      <c r="M17">
        <v>0</v>
      </c>
    </row>
    <row r="18" spans="1:13" hidden="1" x14ac:dyDescent="0.25">
      <c r="G18">
        <f>SUMIFS(Table14[Debit], Table14[Date], Table8[[#This Row],[Date]], Table14[Party], Table8[[#This Row],[Party]])</f>
        <v>0</v>
      </c>
      <c r="H18">
        <f>Table8[[#This Row],[Price]]-Table8[[#This Row],[Paid]]</f>
        <v>0</v>
      </c>
      <c r="K18" s="27">
        <v>45978</v>
      </c>
      <c r="L18">
        <v>28000</v>
      </c>
      <c r="M18">
        <v>0</v>
      </c>
    </row>
    <row r="19" spans="1:13" hidden="1" x14ac:dyDescent="0.25">
      <c r="G19">
        <f>SUMIFS(Table14[Debit], Table14[Date], Table8[[#This Row],[Date]], Table14[Party], Table8[[#This Row],[Party]])</f>
        <v>0</v>
      </c>
      <c r="H19">
        <f>Table8[[#This Row],[Price]]-Table8[[#This Row],[Paid]]</f>
        <v>0</v>
      </c>
      <c r="K19" s="27">
        <v>45979</v>
      </c>
      <c r="L19">
        <v>110500</v>
      </c>
      <c r="M19">
        <v>0</v>
      </c>
    </row>
    <row r="20" spans="1:13" x14ac:dyDescent="0.25">
      <c r="E20">
        <f>SUBTOTAL(109,Table8[Price])</f>
        <v>0</v>
      </c>
      <c r="H20">
        <f>SUBTOTAL(109,Table8[Balance])</f>
        <v>240125</v>
      </c>
      <c r="K20" s="4" t="s">
        <v>106</v>
      </c>
      <c r="M20">
        <v>0</v>
      </c>
    </row>
    <row r="21" spans="1:13" x14ac:dyDescent="0.25">
      <c r="K21" s="4" t="s">
        <v>28</v>
      </c>
      <c r="L21">
        <v>719250</v>
      </c>
      <c r="M21">
        <v>240125</v>
      </c>
    </row>
    <row r="28" spans="1:13" x14ac:dyDescent="0.25">
      <c r="A28" t="s">
        <v>57</v>
      </c>
      <c r="B28" t="s">
        <v>159</v>
      </c>
      <c r="C28" t="s">
        <v>160</v>
      </c>
      <c r="D28" t="s">
        <v>4</v>
      </c>
      <c r="E28" t="s">
        <v>161</v>
      </c>
    </row>
    <row r="29" spans="1:13" x14ac:dyDescent="0.25">
      <c r="A29" t="s">
        <v>134</v>
      </c>
      <c r="D29">
        <v>1400</v>
      </c>
      <c r="E29">
        <f>Table2325[[#This Row],[boxes]]*Table2325[[#This Row],[kgs]]*Table2325[[#This Row],[Rate]]</f>
        <v>0</v>
      </c>
    </row>
    <row r="30" spans="1:13" x14ac:dyDescent="0.25">
      <c r="A30" t="s">
        <v>132</v>
      </c>
      <c r="D30">
        <v>1340</v>
      </c>
      <c r="E30">
        <f>Table2325[[#This Row],[boxes]]*Table2325[[#This Row],[kgs]]*Table2325[[#This Row],[Rate]]</f>
        <v>0</v>
      </c>
    </row>
    <row r="31" spans="1:13" x14ac:dyDescent="0.25">
      <c r="A31" t="s">
        <v>150</v>
      </c>
      <c r="B31">
        <v>1</v>
      </c>
      <c r="C31">
        <v>25</v>
      </c>
      <c r="D31">
        <v>1140</v>
      </c>
      <c r="E31">
        <f>Table2325[[#This Row],[boxes]]*Table2325[[#This Row],[kgs]]*Table2325[[#This Row],[Rate]]</f>
        <v>28500</v>
      </c>
    </row>
    <row r="32" spans="1:13" x14ac:dyDescent="0.25">
      <c r="A32" t="s">
        <v>129</v>
      </c>
      <c r="D32">
        <v>1140</v>
      </c>
      <c r="E32">
        <f>Table2325[[#This Row],[boxes]]*Table2325[[#This Row],[kgs]]*Table2325[[#This Row],[Rate]]</f>
        <v>0</v>
      </c>
      <c r="L32" t="s">
        <v>166</v>
      </c>
    </row>
    <row r="33" spans="1:16" x14ac:dyDescent="0.25">
      <c r="A33" t="s">
        <v>128</v>
      </c>
      <c r="D33">
        <v>1130</v>
      </c>
      <c r="E33">
        <f>Table2325[[#This Row],[boxes]]*Table2325[[#This Row],[kgs]]*Table2325[[#This Row],[Rate]]</f>
        <v>0</v>
      </c>
      <c r="L33" t="s">
        <v>57</v>
      </c>
      <c r="M33" t="s">
        <v>159</v>
      </c>
      <c r="N33" t="s">
        <v>160</v>
      </c>
      <c r="O33" t="s">
        <v>4</v>
      </c>
      <c r="P33" t="s">
        <v>161</v>
      </c>
    </row>
    <row r="34" spans="1:16" x14ac:dyDescent="0.25">
      <c r="A34" t="s">
        <v>149</v>
      </c>
      <c r="B34">
        <v>1</v>
      </c>
      <c r="C34">
        <v>25</v>
      </c>
      <c r="D34">
        <v>1300</v>
      </c>
      <c r="E34">
        <f>Table2325[[#This Row],[boxes]]*Table2325[[#This Row],[kgs]]*Table2325[[#This Row],[Rate]]</f>
        <v>32500</v>
      </c>
      <c r="L34" t="s">
        <v>134</v>
      </c>
      <c r="M34">
        <v>1</v>
      </c>
      <c r="N34">
        <v>25</v>
      </c>
      <c r="O34">
        <v>1400</v>
      </c>
      <c r="P34">
        <v>35000</v>
      </c>
    </row>
    <row r="35" spans="1:16" x14ac:dyDescent="0.25">
      <c r="A35" t="s">
        <v>135</v>
      </c>
      <c r="D35">
        <v>1450</v>
      </c>
      <c r="E35">
        <f>Table2325[[#This Row],[boxes]]*Table2325[[#This Row],[kgs]]*Table2325[[#This Row],[Rate]]</f>
        <v>0</v>
      </c>
      <c r="L35" t="s">
        <v>132</v>
      </c>
      <c r="M35">
        <v>1</v>
      </c>
      <c r="N35">
        <v>25</v>
      </c>
      <c r="O35">
        <v>1340</v>
      </c>
      <c r="P35">
        <v>33500</v>
      </c>
    </row>
    <row r="36" spans="1:16" x14ac:dyDescent="0.25">
      <c r="A36" t="s">
        <v>162</v>
      </c>
      <c r="D36">
        <v>940</v>
      </c>
      <c r="E36">
        <f>Table2325[[#This Row],[boxes]]*Table2325[[#This Row],[kgs]]*Table2325[[#This Row],[Rate]]</f>
        <v>0</v>
      </c>
      <c r="L36" t="s">
        <v>150</v>
      </c>
      <c r="M36">
        <v>2</v>
      </c>
      <c r="N36">
        <v>50</v>
      </c>
      <c r="O36">
        <v>1140</v>
      </c>
      <c r="P36">
        <v>57000</v>
      </c>
    </row>
    <row r="37" spans="1:16" x14ac:dyDescent="0.25">
      <c r="A37" t="s">
        <v>128</v>
      </c>
      <c r="D37">
        <v>1130</v>
      </c>
      <c r="E37">
        <f>Table2325[[#This Row],[boxes]]*Table2325[[#This Row],[kgs]]*Table2325[[#This Row],[Rate]]</f>
        <v>0</v>
      </c>
      <c r="L37" t="s">
        <v>129</v>
      </c>
      <c r="M37">
        <v>1</v>
      </c>
      <c r="N37">
        <v>25</v>
      </c>
      <c r="O37">
        <v>1140</v>
      </c>
      <c r="P37">
        <v>28500</v>
      </c>
    </row>
    <row r="38" spans="1:16" x14ac:dyDescent="0.25">
      <c r="A38" t="s">
        <v>149</v>
      </c>
      <c r="D38">
        <v>1300</v>
      </c>
      <c r="E38">
        <f>Table2325[[#This Row],[boxes]]*Table2325[[#This Row],[kgs]]*Table2325[[#This Row],[Rate]]</f>
        <v>0</v>
      </c>
      <c r="L38" t="s">
        <v>128</v>
      </c>
      <c r="M38">
        <v>2</v>
      </c>
      <c r="N38">
        <v>50</v>
      </c>
      <c r="O38">
        <v>1130</v>
      </c>
      <c r="P38">
        <v>56500</v>
      </c>
    </row>
    <row r="39" spans="1:16" x14ac:dyDescent="0.25">
      <c r="A39" t="s">
        <v>136</v>
      </c>
      <c r="B39">
        <v>1</v>
      </c>
      <c r="C39">
        <v>25</v>
      </c>
      <c r="D39">
        <v>1650</v>
      </c>
      <c r="E39">
        <f>Table2325[[#This Row],[boxes]]*Table2325[[#This Row],[kgs]]*Table2325[[#This Row],[Rate]]</f>
        <v>41250</v>
      </c>
      <c r="L39" t="s">
        <v>149</v>
      </c>
      <c r="M39">
        <v>1</v>
      </c>
      <c r="N39">
        <v>25</v>
      </c>
      <c r="O39">
        <v>1300</v>
      </c>
      <c r="P39">
        <v>32500</v>
      </c>
    </row>
    <row r="40" spans="1:16" x14ac:dyDescent="0.25">
      <c r="A40" t="s">
        <v>132</v>
      </c>
      <c r="D40">
        <v>1340</v>
      </c>
      <c r="E40">
        <f>Table2325[[#This Row],[boxes]]*Table2325[[#This Row],[kgs]]*Table2325[[#This Row],[Rate]]</f>
        <v>0</v>
      </c>
      <c r="L40" t="s">
        <v>135</v>
      </c>
      <c r="M40">
        <v>1</v>
      </c>
      <c r="N40">
        <v>25</v>
      </c>
      <c r="O40">
        <v>1450</v>
      </c>
      <c r="P40">
        <v>36250</v>
      </c>
    </row>
    <row r="41" spans="1:16" x14ac:dyDescent="0.25">
      <c r="A41" t="s">
        <v>135</v>
      </c>
      <c r="B41">
        <v>1</v>
      </c>
      <c r="C41">
        <v>25</v>
      </c>
      <c r="D41">
        <v>1450</v>
      </c>
      <c r="E41">
        <f>Table2325[[#This Row],[boxes]]*Table2325[[#This Row],[kgs]]*Table2325[[#This Row],[Rate]]</f>
        <v>36250</v>
      </c>
      <c r="L41" t="s">
        <v>162</v>
      </c>
      <c r="N41">
        <v>6</v>
      </c>
      <c r="O41">
        <v>940</v>
      </c>
      <c r="P41">
        <v>5640</v>
      </c>
    </row>
    <row r="42" spans="1:16" x14ac:dyDescent="0.25">
      <c r="A42" t="s">
        <v>134</v>
      </c>
      <c r="D42">
        <v>1400</v>
      </c>
      <c r="E42">
        <f>Table2325[[#This Row],[boxes]]*Table2325[[#This Row],[kgs]]*Table2325[[#This Row],[Rate]]</f>
        <v>0</v>
      </c>
      <c r="L42" t="s">
        <v>128</v>
      </c>
      <c r="N42">
        <v>8</v>
      </c>
      <c r="O42">
        <v>1130</v>
      </c>
      <c r="P42">
        <v>9040</v>
      </c>
    </row>
    <row r="43" spans="1:16" x14ac:dyDescent="0.25">
      <c r="A43" t="s">
        <v>163</v>
      </c>
      <c r="D43">
        <v>1000</v>
      </c>
      <c r="E43">
        <f>Table2325[[#This Row],[boxes]]*Table2325[[#This Row],[kgs]]*Table2325[[#This Row],[Rate]]</f>
        <v>0</v>
      </c>
      <c r="L43" t="s">
        <v>149</v>
      </c>
      <c r="N43">
        <v>10</v>
      </c>
      <c r="O43">
        <v>1300</v>
      </c>
      <c r="P43">
        <v>13000</v>
      </c>
    </row>
    <row r="44" spans="1:16" x14ac:dyDescent="0.25">
      <c r="A44" t="s">
        <v>133</v>
      </c>
      <c r="B44">
        <v>1</v>
      </c>
      <c r="C44">
        <v>25</v>
      </c>
      <c r="D44">
        <v>1650</v>
      </c>
      <c r="E44">
        <f>Table2325[[#This Row],[boxes]]*Table2325[[#This Row],[kgs]]*Table2325[[#This Row],[Rate]]</f>
        <v>41250</v>
      </c>
      <c r="L44" t="s">
        <v>136</v>
      </c>
      <c r="N44">
        <v>9</v>
      </c>
      <c r="O44">
        <v>1650</v>
      </c>
      <c r="P44">
        <v>14850</v>
      </c>
    </row>
    <row r="45" spans="1:16" x14ac:dyDescent="0.25">
      <c r="A45" t="s">
        <v>117</v>
      </c>
      <c r="D45">
        <v>1130</v>
      </c>
      <c r="E45">
        <f>Table2325[[#This Row],[boxes]]*Table2325[[#This Row],[kgs]]*Table2325[[#This Row],[Rate]]</f>
        <v>0</v>
      </c>
      <c r="L45" t="s">
        <v>132</v>
      </c>
      <c r="N45">
        <v>5</v>
      </c>
      <c r="O45">
        <v>1340</v>
      </c>
      <c r="P45">
        <v>6700</v>
      </c>
    </row>
    <row r="46" spans="1:16" x14ac:dyDescent="0.25">
      <c r="A46" t="s">
        <v>156</v>
      </c>
      <c r="D46">
        <v>3100</v>
      </c>
      <c r="E46">
        <f>Table2325[[#This Row],[boxes]]*Table2325[[#This Row],[kgs]]*Table2325[[#This Row],[Rate]]</f>
        <v>0</v>
      </c>
      <c r="L46" t="s">
        <v>135</v>
      </c>
      <c r="N46">
        <v>20</v>
      </c>
      <c r="O46">
        <v>1450</v>
      </c>
      <c r="P46">
        <v>29000</v>
      </c>
    </row>
    <row r="47" spans="1:16" x14ac:dyDescent="0.25">
      <c r="A47" t="s">
        <v>129</v>
      </c>
      <c r="D47">
        <v>1140</v>
      </c>
      <c r="E47">
        <f>Table2325[[#This Row],[boxes]]*Table2325[[#This Row],[kgs]]*Table2325[[#This Row],[Rate]]</f>
        <v>0</v>
      </c>
      <c r="L47" t="s">
        <v>134</v>
      </c>
      <c r="N47">
        <v>8</v>
      </c>
      <c r="O47">
        <v>1400</v>
      </c>
      <c r="P47">
        <v>11200</v>
      </c>
    </row>
    <row r="48" spans="1:16" x14ac:dyDescent="0.25">
      <c r="A48" t="s">
        <v>150</v>
      </c>
      <c r="D48">
        <v>1140</v>
      </c>
      <c r="E48">
        <f>Table2325[[#This Row],[boxes]]*Table2325[[#This Row],[kgs]]*Table2325[[#This Row],[Rate]]</f>
        <v>0</v>
      </c>
      <c r="L48" t="s">
        <v>163</v>
      </c>
      <c r="N48">
        <v>2</v>
      </c>
      <c r="O48">
        <v>1000</v>
      </c>
      <c r="P48">
        <v>2000</v>
      </c>
    </row>
    <row r="49" spans="1:16" x14ac:dyDescent="0.25">
      <c r="A49" t="s">
        <v>164</v>
      </c>
      <c r="D49">
        <v>1000</v>
      </c>
      <c r="E49">
        <f>Table2325[[#This Row],[boxes]]*Table2325[[#This Row],[kgs]]*Table2325[[#This Row],[Rate]]</f>
        <v>0</v>
      </c>
      <c r="L49" t="s">
        <v>133</v>
      </c>
      <c r="N49">
        <v>20</v>
      </c>
      <c r="O49">
        <v>1650</v>
      </c>
      <c r="P49">
        <v>33000</v>
      </c>
    </row>
    <row r="50" spans="1:16" x14ac:dyDescent="0.25">
      <c r="A50" t="s">
        <v>165</v>
      </c>
      <c r="D50">
        <v>1600</v>
      </c>
      <c r="E50">
        <f>Table2325[[#This Row],[boxes]]*Table2325[[#This Row],[kgs]]*Table2325[[#This Row],[Rate]]</f>
        <v>0</v>
      </c>
      <c r="L50" t="s">
        <v>117</v>
      </c>
      <c r="N50">
        <v>15</v>
      </c>
      <c r="O50">
        <v>1130</v>
      </c>
      <c r="P50">
        <v>16950</v>
      </c>
    </row>
    <row r="51" spans="1:16" x14ac:dyDescent="0.25">
      <c r="L51" t="s">
        <v>156</v>
      </c>
      <c r="N51">
        <v>25</v>
      </c>
      <c r="O51">
        <v>3100</v>
      </c>
      <c r="P51">
        <v>77500</v>
      </c>
    </row>
    <row r="52" spans="1:16" x14ac:dyDescent="0.25">
      <c r="E52">
        <f>SUM(Table2325[total])</f>
        <v>179750</v>
      </c>
      <c r="L52" t="s">
        <v>129</v>
      </c>
      <c r="N52">
        <v>10</v>
      </c>
      <c r="O52">
        <v>1140</v>
      </c>
      <c r="P52">
        <v>11400</v>
      </c>
    </row>
    <row r="53" spans="1:16" x14ac:dyDescent="0.25">
      <c r="L53" t="s">
        <v>150</v>
      </c>
      <c r="N53">
        <v>5</v>
      </c>
      <c r="O53">
        <v>1140</v>
      </c>
      <c r="P53">
        <v>5700</v>
      </c>
    </row>
    <row r="54" spans="1:16" x14ac:dyDescent="0.25">
      <c r="L54" t="s">
        <v>164</v>
      </c>
      <c r="N54">
        <v>9</v>
      </c>
      <c r="O54">
        <v>1000</v>
      </c>
      <c r="P54">
        <v>9000</v>
      </c>
    </row>
    <row r="55" spans="1:16" x14ac:dyDescent="0.25">
      <c r="L55" t="s">
        <v>165</v>
      </c>
      <c r="N55">
        <v>10</v>
      </c>
      <c r="O55">
        <v>1000</v>
      </c>
      <c r="P55">
        <v>10000</v>
      </c>
    </row>
    <row r="56" spans="1:16" x14ac:dyDescent="0.25">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H18" sqref="H18"/>
    </sheetView>
  </sheetViews>
  <sheetFormatPr defaultRowHeight="15" x14ac:dyDescent="0.25"/>
  <cols>
    <col min="1" max="1" width="13.85546875" customWidth="1"/>
    <col min="2" max="2" width="14.140625" customWidth="1"/>
    <col min="3" max="3" width="13" customWidth="1"/>
    <col min="4" max="4" width="10.7109375" bestFit="1" customWidth="1"/>
    <col min="7" max="8" width="12.28515625" bestFit="1" customWidth="1"/>
    <col min="9" max="9" width="11.28515625" bestFit="1" customWidth="1"/>
    <col min="10" max="10" width="14.140625" bestFit="1" customWidth="1"/>
    <col min="11" max="11" width="12.28515625" bestFit="1" customWidth="1"/>
    <col min="12" max="12" width="11.5703125" bestFit="1" customWidth="1"/>
    <col min="13" max="13" width="14.85546875" bestFit="1" customWidth="1"/>
  </cols>
  <sheetData>
    <row r="4" spans="1:13" x14ac:dyDescent="0.25">
      <c r="A4" s="2" t="s">
        <v>75</v>
      </c>
      <c r="B4" s="8" t="s">
        <v>2</v>
      </c>
      <c r="C4" s="2" t="s">
        <v>137</v>
      </c>
      <c r="D4" s="2" t="s">
        <v>124</v>
      </c>
      <c r="E4" s="8" t="s">
        <v>138</v>
      </c>
      <c r="F4" s="8" t="s">
        <v>125</v>
      </c>
      <c r="G4" s="8" t="s">
        <v>95</v>
      </c>
      <c r="H4" s="8" t="s">
        <v>18</v>
      </c>
      <c r="J4" s="3" t="s">
        <v>6</v>
      </c>
      <c r="K4" t="s">
        <v>130</v>
      </c>
      <c r="L4" t="s">
        <v>104</v>
      </c>
      <c r="M4" t="s">
        <v>131</v>
      </c>
    </row>
    <row r="5" spans="1:13" x14ac:dyDescent="0.25">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106</v>
      </c>
      <c r="K5">
        <v>0</v>
      </c>
      <c r="L5">
        <v>0</v>
      </c>
      <c r="M5">
        <v>0</v>
      </c>
    </row>
    <row r="6" spans="1:13" x14ac:dyDescent="0.25">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119</v>
      </c>
      <c r="K6">
        <v>224000</v>
      </c>
      <c r="L6">
        <v>220000</v>
      </c>
      <c r="M6">
        <v>-1000</v>
      </c>
    </row>
    <row r="7" spans="1:13" x14ac:dyDescent="0.25">
      <c r="A7" s="90">
        <v>45947</v>
      </c>
      <c r="B7" s="90" t="s">
        <v>168</v>
      </c>
      <c r="C7" s="87" t="s">
        <v>184</v>
      </c>
      <c r="F7">
        <v>0</v>
      </c>
      <c r="G7">
        <v>0</v>
      </c>
      <c r="H7" s="86">
        <v>0</v>
      </c>
      <c r="J7" s="4" t="s">
        <v>120</v>
      </c>
      <c r="K7">
        <v>61600</v>
      </c>
      <c r="L7">
        <v>61600</v>
      </c>
      <c r="M7">
        <v>353250</v>
      </c>
    </row>
    <row r="8" spans="1:13" x14ac:dyDescent="0.25">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168</v>
      </c>
      <c r="K8">
        <v>120000</v>
      </c>
      <c r="L8">
        <v>0</v>
      </c>
      <c r="M8">
        <v>120000</v>
      </c>
    </row>
    <row r="9" spans="1:13" x14ac:dyDescent="0.25">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c r="J9" s="4" t="s">
        <v>28</v>
      </c>
      <c r="K9">
        <v>405600</v>
      </c>
      <c r="L9">
        <v>281600</v>
      </c>
      <c r="M9">
        <v>472250</v>
      </c>
    </row>
    <row r="10" spans="1:13" x14ac:dyDescent="0.25">
      <c r="A10" s="1">
        <v>45957</v>
      </c>
      <c r="B10" s="1" t="s">
        <v>120</v>
      </c>
      <c r="C10" t="s">
        <v>61</v>
      </c>
      <c r="F10" s="130">
        <f>Table2[[#This Row],[Quantity]]*200*Table2[[#This Row],[Boxes]]</f>
        <v>0</v>
      </c>
      <c r="G10" s="130">
        <f>SUMIFS(Table14[Debit], Table14[Date], Table2[[#This Row],[Date]], Table14[Party], Table2[[#This Row],[Party Name]],Table14[Description],Table2[[#This Row],[Item]])</f>
        <v>353250</v>
      </c>
      <c r="H10" s="130">
        <f>Table2[[#This Row],[Price]]-Table2[[#This Row],[Paid]]</f>
        <v>-353250</v>
      </c>
    </row>
    <row r="11" spans="1:13" x14ac:dyDescent="0.25">
      <c r="A11" s="1">
        <v>45962</v>
      </c>
      <c r="B11" s="1" t="s">
        <v>119</v>
      </c>
      <c r="C11" t="s">
        <v>169</v>
      </c>
      <c r="F11">
        <f>Table2[[#This Row],[Quantity]]*200*Table2[[#This Row],[Boxes]]</f>
        <v>0</v>
      </c>
      <c r="G11">
        <f>SUMIFS(Table14[Debit], Table14[Date], Table2[[#This Row],[Date]], Table14[Party], Table2[[#This Row],[Party Name]],Table14[Description],Table2[[#This Row],[Item]])</f>
        <v>100000</v>
      </c>
      <c r="H11">
        <f>Table2[[#This Row],[Price]]-Table2[[#This Row],[Paid]]</f>
        <v>-100000</v>
      </c>
    </row>
    <row r="12" spans="1:13" x14ac:dyDescent="0.25">
      <c r="A12" s="1">
        <v>45968</v>
      </c>
      <c r="B12" s="1" t="s">
        <v>119</v>
      </c>
      <c r="C12" t="s">
        <v>169</v>
      </c>
      <c r="F12">
        <f>Table2[[#This Row],[Quantity]]*200*Table2[[#This Row],[Boxes]]</f>
        <v>0</v>
      </c>
      <c r="G12">
        <f>SUMIFS(Table14[Debit], Table14[Date], Table2[[#This Row],[Date]], Table14[Party], Table2[[#This Row],[Party Name]],Table14[Description],Table2[[#This Row],[Item]])</f>
        <v>110000</v>
      </c>
      <c r="H12">
        <f>Table2[[#This Row],[Price]]-Table2[[#This Row],[Paid]]</f>
        <v>-110000</v>
      </c>
    </row>
    <row r="13" spans="1:13" x14ac:dyDescent="0.25">
      <c r="A13" s="1">
        <v>45969</v>
      </c>
      <c r="B13" s="1" t="s">
        <v>119</v>
      </c>
      <c r="C13" t="s">
        <v>169</v>
      </c>
      <c r="D13">
        <v>3</v>
      </c>
      <c r="E13">
        <v>160</v>
      </c>
      <c r="F13">
        <f>Table2[[#This Row],[Quantity]]*200*Table2[[#This Row],[Boxes]]</f>
        <v>96000</v>
      </c>
      <c r="G13">
        <f>SUMIFS(Table14[Debit], Table14[Date], Table2[[#This Row],[Date]], Table14[Party], Table2[[#This Row],[Party Name]],Table14[Description],Table2[[#This Row],[Item]])</f>
        <v>0</v>
      </c>
      <c r="H13">
        <f>Table2[[#This Row],[Price]]-Table2[[#This Row],[Paid]]</f>
        <v>96000</v>
      </c>
    </row>
    <row r="14" spans="1:13" x14ac:dyDescent="0.25">
      <c r="A14" s="1">
        <v>45974</v>
      </c>
      <c r="B14" s="1" t="s">
        <v>120</v>
      </c>
      <c r="C14" t="s">
        <v>167</v>
      </c>
      <c r="F14">
        <v>26000</v>
      </c>
      <c r="G14">
        <f>SUMIFS(Table14[Debit], Table14[Date], Table2[[#This Row],[Date]], Table14[Party], Table2[[#This Row],[Party Name]],Table14[Description],Table2[[#This Row],[Item]])</f>
        <v>26000</v>
      </c>
      <c r="H14">
        <f>Table2[[#This Row],[Price]]-Table2[[#This Row],[Paid]]</f>
        <v>0</v>
      </c>
    </row>
    <row r="15" spans="1:13" x14ac:dyDescent="0.25">
      <c r="A15" s="1">
        <v>45974</v>
      </c>
      <c r="B15" s="1" t="s">
        <v>120</v>
      </c>
      <c r="C15" t="s">
        <v>238</v>
      </c>
      <c r="F15">
        <v>9600</v>
      </c>
      <c r="G15">
        <f>SUMIFS(Table14[Debit], Table14[Date], Table2[[#This Row],[Date]], Table14[Party], Table2[[#This Row],[Party Name]],Table14[Description],Table2[[#This Row],[Item]])</f>
        <v>9600</v>
      </c>
      <c r="H15">
        <f>Table2[[#This Row],[Price]]-Table2[[#This Row],[Paid]]</f>
        <v>0</v>
      </c>
    </row>
    <row r="16" spans="1:13" x14ac:dyDescent="0.25">
      <c r="A16" s="1">
        <v>45978</v>
      </c>
      <c r="B16" s="1" t="s">
        <v>120</v>
      </c>
      <c r="C16" t="s">
        <v>167</v>
      </c>
      <c r="F16">
        <v>26000</v>
      </c>
      <c r="G16">
        <f>SUMIFS(Table14[Debit], Table14[Date], Table2[[#This Row],[Date]], Table14[Party], Table2[[#This Row],[Party Name]],Table14[Description],Table2[[#This Row],[Item]])</f>
        <v>26000</v>
      </c>
      <c r="H16">
        <f>Table2[[#This Row],[Price]]-Table2[[#This Row],[Paid]]</f>
        <v>0</v>
      </c>
    </row>
    <row r="17" spans="1:10" x14ac:dyDescent="0.25">
      <c r="A17" s="1">
        <v>45979</v>
      </c>
      <c r="B17" s="1" t="s">
        <v>119</v>
      </c>
      <c r="C17" t="s">
        <v>169</v>
      </c>
      <c r="F17">
        <f>Table2[[#This Row],[Quantity]]*200*Table2[[#This Row],[Boxes]]</f>
        <v>0</v>
      </c>
      <c r="G17">
        <f>SUMIFS(Table14[Debit], Table14[Date], Table2[[#This Row],[Date]], Table14[Party], Table2[[#This Row],[Party Name]],Table14[Description],Table2[[#This Row],[Item]])</f>
        <v>10000</v>
      </c>
      <c r="H17">
        <f>Table2[[#This Row],[Price]]-Table2[[#This Row],[Paid]]</f>
        <v>-10000</v>
      </c>
    </row>
    <row r="18" spans="1:10" x14ac:dyDescent="0.25">
      <c r="A18" s="1"/>
      <c r="B18" s="1" t="s">
        <v>475</v>
      </c>
      <c r="C18" t="s">
        <v>301</v>
      </c>
      <c r="D18">
        <v>80</v>
      </c>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25">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25">
      <c r="A20" s="1"/>
      <c r="B20" s="1"/>
      <c r="F20">
        <f>Table2[[#This Row],[Quantity]]*200*Table2[[#This Row],[Boxes]]</f>
        <v>0</v>
      </c>
      <c r="G20">
        <f>SUMIFS(Table14[Debit], Table14[Date], Table2[[#This Row],[Date]], Table14[Party], Table2[[#This Row],[Party Name]],Table14[Description],Table2[[#This Row],[Item]])</f>
        <v>0</v>
      </c>
      <c r="H20">
        <f>Table2[[#This Row],[Price]]-Table2[[#This Row],[Paid]]</f>
        <v>0</v>
      </c>
    </row>
    <row r="21" spans="1:10" x14ac:dyDescent="0.25">
      <c r="A21" s="1"/>
      <c r="B21" s="1"/>
      <c r="F21" s="130">
        <f>Table2[[#This Row],[Quantity]]*200*Table2[[#This Row],[Boxes]]</f>
        <v>0</v>
      </c>
      <c r="G21" s="130">
        <f>SUMIFS(Table14[Debit], Table14[Date], Table2[[#This Row],[Date]], Table14[Party], Table2[[#This Row],[Party Name]],Table14[Description],Table2[[#This Row],[Item]])</f>
        <v>0</v>
      </c>
      <c r="H21" s="130">
        <f>Table2[[#This Row],[Price]]-Table2[[#This Row],[Paid]]</f>
        <v>0</v>
      </c>
    </row>
    <row r="22" spans="1:10" x14ac:dyDescent="0.25">
      <c r="A22" s="1"/>
      <c r="B22" s="1"/>
      <c r="F22" s="130">
        <f>Table2[[#This Row],[Quantity]]*200*Table2[[#This Row],[Boxes]]</f>
        <v>0</v>
      </c>
      <c r="G22" s="130">
        <f>SUMIFS(Table14[Debit], Table14[Date], Table2[[#This Row],[Date]], Table14[Party], Table2[[#This Row],[Party Name]],Table14[Description],Table2[[#This Row],[Item]])</f>
        <v>0</v>
      </c>
      <c r="H22" s="130">
        <f>Table2[[#This Row],[Price]]-Table2[[#This Row],[Paid]]</f>
        <v>0</v>
      </c>
    </row>
    <row r="23" spans="1:10" x14ac:dyDescent="0.25">
      <c r="A23" s="1"/>
      <c r="F23">
        <f>SUBTOTAL(109,Table2[Price])</f>
        <v>405600</v>
      </c>
      <c r="G23">
        <f>SUBTOTAL(109,Table2[Paid])</f>
        <v>634850</v>
      </c>
      <c r="H23">
        <f>SUBTOTAL(109,Table2[Balance])</f>
        <v>119000</v>
      </c>
    </row>
    <row r="24" spans="1:10" x14ac:dyDescent="0.25">
      <c r="I24" t="s">
        <v>57</v>
      </c>
      <c r="J24" t="s">
        <v>185</v>
      </c>
    </row>
    <row r="25" spans="1:10" x14ac:dyDescent="0.25">
      <c r="I25" t="s">
        <v>61</v>
      </c>
      <c r="J25">
        <f>7750*16</f>
        <v>124000</v>
      </c>
    </row>
    <row r="26" spans="1:10" x14ac:dyDescent="0.25">
      <c r="I26" t="s">
        <v>61</v>
      </c>
      <c r="J26">
        <f>353250</f>
        <v>353250</v>
      </c>
    </row>
    <row r="27" spans="1:10" x14ac:dyDescent="0.25">
      <c r="I27" t="s">
        <v>167</v>
      </c>
      <c r="J27">
        <f>(82000/3)*2</f>
        <v>54666.666666666664</v>
      </c>
    </row>
    <row r="30" spans="1:10" x14ac:dyDescent="0.25">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5" x14ac:dyDescent="0.25"/>
  <cols>
    <col min="3" max="3" width="12.28515625" customWidth="1"/>
    <col min="5" max="5" width="11.42578125" bestFit="1" customWidth="1"/>
  </cols>
  <sheetData>
    <row r="2" spans="2:5" x14ac:dyDescent="0.25">
      <c r="B2" t="s">
        <v>75</v>
      </c>
      <c r="C2" t="s">
        <v>139</v>
      </c>
      <c r="D2" t="s">
        <v>140</v>
      </c>
      <c r="E2" t="s">
        <v>5</v>
      </c>
    </row>
    <row r="3" spans="2:5" x14ac:dyDescent="0.25">
      <c r="B3" s="19" t="s">
        <v>186</v>
      </c>
      <c r="C3" s="19" t="s">
        <v>100</v>
      </c>
      <c r="D3" s="19" t="s">
        <v>100</v>
      </c>
      <c r="E3" s="20">
        <v>1800000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5"/>
  <cols>
    <col min="2" max="2" width="16.28515625" customWidth="1"/>
    <col min="3" max="3" width="12.5703125" customWidth="1"/>
    <col min="4" max="4" width="13.28515625" customWidth="1"/>
    <col min="5" max="5" width="15.5703125" customWidth="1"/>
  </cols>
  <sheetData>
    <row r="2" spans="2:5" x14ac:dyDescent="0.25">
      <c r="B2" t="s">
        <v>75</v>
      </c>
      <c r="C2" t="s">
        <v>45</v>
      </c>
      <c r="D2" t="s">
        <v>46</v>
      </c>
      <c r="E2" t="s">
        <v>66</v>
      </c>
    </row>
    <row r="3" spans="2:5" x14ac:dyDescent="0.25">
      <c r="B3" s="1"/>
      <c r="D3" s="11"/>
    </row>
    <row r="4" spans="2:5" x14ac:dyDescent="0.25">
      <c r="D4" s="11"/>
    </row>
    <row r="5" spans="2:5" x14ac:dyDescent="0.25">
      <c r="D5" s="11"/>
    </row>
    <row r="6" spans="2:5" x14ac:dyDescent="0.25">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3" zoomScale="118" workbookViewId="0">
      <selection activeCell="D41" sqref="D41"/>
    </sheetView>
  </sheetViews>
  <sheetFormatPr defaultRowHeight="15" x14ac:dyDescent="0.25"/>
  <cols>
    <col min="2" max="2" width="12.28515625" customWidth="1"/>
    <col min="3" max="3" width="11.28515625" customWidth="1"/>
    <col min="4" max="4" width="10.28515625" bestFit="1" customWidth="1"/>
    <col min="8" max="8" width="14" customWidth="1"/>
    <col min="9" max="9" width="10" customWidth="1"/>
    <col min="10" max="10" width="13.28515625" customWidth="1"/>
  </cols>
  <sheetData>
    <row r="2" spans="2:15" x14ac:dyDescent="0.25">
      <c r="B2" t="s">
        <v>75</v>
      </c>
      <c r="C2" t="s">
        <v>46</v>
      </c>
      <c r="D2" t="s">
        <v>66</v>
      </c>
      <c r="E2" t="s">
        <v>67</v>
      </c>
      <c r="H2" t="s">
        <v>75</v>
      </c>
      <c r="I2" t="s">
        <v>141</v>
      </c>
      <c r="J2" t="s">
        <v>142</v>
      </c>
    </row>
    <row r="3" spans="2:15" x14ac:dyDescent="0.25">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25">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25">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25">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25">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25">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25">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25">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25">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25">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25">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25">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25">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25">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25">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25">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25">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25">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25">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25">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25">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25">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25">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25">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25">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25">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25">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25">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25">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25">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25">
      <c r="B33" s="1">
        <v>45976</v>
      </c>
      <c r="C33" s="20">
        <f>SUMIFS(Table14[Debit], Table14[Date], Table11[[#This Row],[Date]], Table14[Party],"Salary", Table14[Description],Table11[[#This Row],[Column1]])</f>
        <v>878020</v>
      </c>
      <c r="D33" t="s">
        <v>449</v>
      </c>
      <c r="H33" s="1">
        <v>45977</v>
      </c>
      <c r="I33">
        <f>SUMIFS(Table14[Debit], Table14[Date], Table16[[#This Row],[Date]], Table14[Party], "Advance Salary", Table14[Description], Table16[[#This Row],[Person]] )</f>
        <v>0</v>
      </c>
    </row>
    <row r="34" spans="2:9" x14ac:dyDescent="0.25">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9" x14ac:dyDescent="0.25">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9" x14ac:dyDescent="0.25">
      <c r="B36" s="1">
        <v>45979</v>
      </c>
      <c r="C36" s="20">
        <f>SUMIFS(Table14[Debit], Table14[Date], Table11[[#This Row],[Date]], Table14[Party],"Salary", Table14[Description],Table11[[#This Row],[Column1]])</f>
        <v>1000</v>
      </c>
      <c r="D36" t="s">
        <v>352</v>
      </c>
      <c r="H36" s="1"/>
      <c r="I36">
        <f>SUBTOTAL(109,Table16[Advance])</f>
        <v>120000</v>
      </c>
    </row>
    <row r="37" spans="2:9" x14ac:dyDescent="0.25">
      <c r="B37" s="1">
        <v>45978</v>
      </c>
      <c r="C37" s="20">
        <f>SUMIFS(Table14[Debit], Table14[Date], Table11[[#This Row],[Date]], Table14[Party],"Salary", Table14[Description],Table11[[#This Row],[Column1]])</f>
        <v>5000</v>
      </c>
      <c r="D37" t="s">
        <v>390</v>
      </c>
    </row>
    <row r="38" spans="2:9" x14ac:dyDescent="0.25">
      <c r="B38" s="1">
        <v>45978</v>
      </c>
      <c r="C38" s="20">
        <f>SUMIFS(Table14[Debit], Table14[Date], Table11[[#This Row],[Date]], Table14[Party],"Salary", Table14[Description],Table11[[#This Row],[Column1]])</f>
        <v>33000</v>
      </c>
      <c r="D38" t="s">
        <v>461</v>
      </c>
    </row>
    <row r="39" spans="2:9" x14ac:dyDescent="0.25">
      <c r="B39" s="1">
        <v>45978</v>
      </c>
      <c r="C39" s="20">
        <f>SUMIFS(Table14[Debit], Table14[Date], Table11[[#This Row],[Date]], Table14[Party],"Salary", Table14[Description],Table11[[#This Row],[Column1]])</f>
        <v>13500</v>
      </c>
      <c r="D39" t="s">
        <v>471</v>
      </c>
    </row>
    <row r="40" spans="2:9" x14ac:dyDescent="0.25">
      <c r="B40" s="1">
        <v>45978</v>
      </c>
      <c r="C40" s="20">
        <f>SUMIFS(Table14[Debit], Table14[Date], Table11[[#This Row],[Date]], Table14[Party],"Salary", Table14[Description],Table11[[#This Row],[Column1]])</f>
        <v>7600</v>
      </c>
      <c r="D40" t="s">
        <v>459</v>
      </c>
    </row>
    <row r="41" spans="2:9" x14ac:dyDescent="0.25">
      <c r="B41" s="1">
        <v>45978</v>
      </c>
      <c r="C41" s="20">
        <f>SUMIFS(Table14[Debit], Table14[Date], Table11[[#This Row],[Date]], Table14[Party],"Salary", Table14[Description],Table11[[#This Row],[Column1]])</f>
        <v>0</v>
      </c>
    </row>
    <row r="42" spans="2:9" x14ac:dyDescent="0.25">
      <c r="B42" s="1">
        <v>45978</v>
      </c>
      <c r="C42" s="20">
        <f>SUMIFS(Table14[Debit], Table14[Date], Table11[[#This Row],[Date]], Table14[Party],"Salary", Table14[Description],Table11[[#This Row],[Column1]])</f>
        <v>0</v>
      </c>
    </row>
    <row r="43" spans="2:9" x14ac:dyDescent="0.25">
      <c r="B43" s="1"/>
      <c r="C43" s="26">
        <f>SUM(Table11[Amount])</f>
        <v>1237870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5" x14ac:dyDescent="0.25"/>
  <cols>
    <col min="1" max="1" width="21.140625" bestFit="1" customWidth="1"/>
    <col min="2" max="2" width="19.140625" bestFit="1" customWidth="1"/>
    <col min="3" max="3" width="18.28515625" bestFit="1" customWidth="1"/>
    <col min="4" max="4" width="17.140625" bestFit="1" customWidth="1"/>
    <col min="5" max="5" width="16.28515625" customWidth="1"/>
    <col min="6" max="6" width="17" customWidth="1"/>
    <col min="7" max="7" width="12.28515625" customWidth="1"/>
    <col min="8" max="8" width="15.28515625" customWidth="1"/>
    <col min="9" max="9" width="13.7109375" customWidth="1"/>
    <col min="10" max="10" width="15.28515625" customWidth="1"/>
    <col min="11" max="11" width="13.5703125" bestFit="1" customWidth="1"/>
  </cols>
  <sheetData>
    <row r="1" spans="1:12" x14ac:dyDescent="0.25">
      <c r="A1" s="49" t="s">
        <v>2</v>
      </c>
      <c r="B1" s="14" t="s">
        <v>88</v>
      </c>
      <c r="C1" s="14"/>
    </row>
    <row r="2" spans="1:12" x14ac:dyDescent="0.25">
      <c r="A2" s="36" t="s">
        <v>28</v>
      </c>
      <c r="B2" s="38">
        <f>SUM(B4:INDEX(B:B, MATCH(1E+100, B:B)-1))</f>
        <v>1689720</v>
      </c>
      <c r="C2" s="37">
        <f>GETPIVOTDATA("Sum of Tiyaar/gaz",$A$3)</f>
        <v>1768308</v>
      </c>
      <c r="D2" s="36">
        <f>((B2*48)+((C2/1.0936)*10))/C2</f>
        <v>55.010871960312627</v>
      </c>
      <c r="J2">
        <v>48</v>
      </c>
    </row>
    <row r="3" spans="1:12" x14ac:dyDescent="0.25">
      <c r="A3" s="39" t="s">
        <v>143</v>
      </c>
      <c r="B3" s="40" t="s">
        <v>144</v>
      </c>
      <c r="C3" s="41" t="s">
        <v>89</v>
      </c>
      <c r="D3" s="37" t="s">
        <v>145</v>
      </c>
      <c r="E3" s="11" t="s">
        <v>146</v>
      </c>
      <c r="F3" s="11" t="str">
        <f t="shared" ref="F3:F38" si="0">C3</f>
        <v>Sum of Tiyaar/gaz</v>
      </c>
      <c r="G3" s="82" t="s">
        <v>82</v>
      </c>
      <c r="H3" s="11" t="s">
        <v>147</v>
      </c>
      <c r="I3" s="34" t="s">
        <v>148</v>
      </c>
    </row>
    <row r="4" spans="1:12" x14ac:dyDescent="0.25">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25">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25">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25">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25">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25">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25">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25">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25">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25">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25">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25">
      <c r="A15" s="16">
        <v>1834</v>
      </c>
      <c r="B15" s="14">
        <v>18060</v>
      </c>
      <c r="C15" s="14">
        <v>19137</v>
      </c>
      <c r="D15" s="33">
        <f t="shared" si="1"/>
        <v>54.442747342258855</v>
      </c>
      <c r="E15" s="11">
        <f>B15 * 1.0936</f>
        <v>19750.415999999997</v>
      </c>
      <c r="F15" s="11">
        <f t="shared" si="0"/>
        <v>19137</v>
      </c>
      <c r="G15" s="83">
        <f t="shared" si="4"/>
        <v>3.1058383782903434</v>
      </c>
      <c r="H15" s="33">
        <f t="shared" si="3"/>
        <v>17499.085588880764</v>
      </c>
      <c r="I15" s="33">
        <f>((B15*48)+(H15*10))/C15</f>
        <v>54.442747342258855</v>
      </c>
    </row>
    <row r="16" spans="1:12" x14ac:dyDescent="0.25">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25">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25">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25">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25">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25">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25">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25">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25">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25">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25">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25">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25">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25">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25">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25">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25">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25">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25">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25">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25">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25">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25">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25">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25">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25">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25">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25">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25">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25">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25">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25">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25">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25">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25">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25">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25">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25">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25">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25">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25">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25">
      <c r="A57" s="16" t="s">
        <v>401</v>
      </c>
      <c r="B57" s="14">
        <v>69241</v>
      </c>
      <c r="C57" s="14">
        <v>58017</v>
      </c>
      <c r="D57" s="33">
        <f t="shared" si="19"/>
        <v>66.430216988968965</v>
      </c>
      <c r="E57" s="11">
        <f t="shared" si="20"/>
        <v>75721.957599999994</v>
      </c>
      <c r="F57" s="11">
        <f t="shared" si="21"/>
        <v>58017</v>
      </c>
      <c r="G57" s="83">
        <f t="shared" si="22"/>
        <v>23.381537087995198</v>
      </c>
      <c r="H57" s="33">
        <f t="shared" si="23"/>
        <v>53051.389904901247</v>
      </c>
      <c r="I57" s="33">
        <f t="shared" si="24"/>
        <v>66.430216988968965</v>
      </c>
    </row>
    <row r="58" spans="1:9" x14ac:dyDescent="0.25">
      <c r="A58" s="16">
        <v>1896</v>
      </c>
      <c r="B58" s="14">
        <v>100762</v>
      </c>
      <c r="C58" s="14">
        <v>107557</v>
      </c>
      <c r="D58" s="33">
        <f t="shared" si="19"/>
        <v>54.111672578447866</v>
      </c>
      <c r="E58" s="11">
        <f t="shared" si="20"/>
        <v>110193.32319999998</v>
      </c>
      <c r="F58" s="11">
        <f t="shared" si="21"/>
        <v>107557</v>
      </c>
      <c r="G58" s="83">
        <f t="shared" si="22"/>
        <v>2.392452757972535</v>
      </c>
      <c r="H58" s="33">
        <f t="shared" si="23"/>
        <v>98351.316752011713</v>
      </c>
      <c r="I58" s="33">
        <f t="shared" si="24"/>
        <v>54.111672578447866</v>
      </c>
    </row>
    <row r="59" spans="1:9" x14ac:dyDescent="0.25">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25">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25">
      <c r="A61" s="16">
        <v>1844</v>
      </c>
      <c r="B61" s="14">
        <v>27696</v>
      </c>
      <c r="C61" s="14">
        <v>29468</v>
      </c>
      <c r="D61" s="33">
        <f t="shared" si="25"/>
        <v>54.257725960954609</v>
      </c>
      <c r="E61" s="11">
        <f t="shared" si="26"/>
        <v>30288.345599999997</v>
      </c>
      <c r="F61" s="11">
        <f t="shared" si="27"/>
        <v>29468</v>
      </c>
      <c r="G61" s="83">
        <f t="shared" si="28"/>
        <v>2.7084529833151407</v>
      </c>
      <c r="H61" s="33">
        <f t="shared" si="29"/>
        <v>26945.86686174104</v>
      </c>
      <c r="I61" s="33">
        <f t="shared" si="30"/>
        <v>54.257725960954609</v>
      </c>
    </row>
    <row r="62" spans="1:9" x14ac:dyDescent="0.25">
      <c r="A62" s="16">
        <v>1862</v>
      </c>
      <c r="B62" s="14">
        <v>22145</v>
      </c>
      <c r="C62" s="14">
        <v>23602</v>
      </c>
      <c r="D62" s="33">
        <f t="shared" si="25"/>
        <v>54.180972475334222</v>
      </c>
      <c r="E62" s="11">
        <f t="shared" si="26"/>
        <v>24217.771999999997</v>
      </c>
      <c r="F62" s="11">
        <f t="shared" si="27"/>
        <v>23602</v>
      </c>
      <c r="G62" s="83">
        <f t="shared" si="28"/>
        <v>2.5426451285444358</v>
      </c>
      <c r="H62" s="33">
        <f t="shared" si="29"/>
        <v>21581.931236283835</v>
      </c>
      <c r="I62" s="33">
        <f t="shared" si="30"/>
        <v>54.180972475334222</v>
      </c>
    </row>
    <row r="63" spans="1:9" x14ac:dyDescent="0.25">
      <c r="A63" s="16">
        <v>1891</v>
      </c>
      <c r="B63" s="14">
        <v>9400</v>
      </c>
      <c r="C63" s="14">
        <v>10097</v>
      </c>
      <c r="D63" s="33">
        <f t="shared" si="25"/>
        <v>53.83065174899307</v>
      </c>
      <c r="E63" s="11">
        <f t="shared" si="26"/>
        <v>10279.839999999998</v>
      </c>
      <c r="F63" s="11">
        <f t="shared" si="27"/>
        <v>10097</v>
      </c>
      <c r="G63" s="83">
        <f t="shared" si="28"/>
        <v>1.7786269046988821</v>
      </c>
      <c r="H63" s="33">
        <f t="shared" si="29"/>
        <v>9232.809070958303</v>
      </c>
      <c r="I63" s="33">
        <f t="shared" si="30"/>
        <v>53.83065174899307</v>
      </c>
    </row>
    <row r="64" spans="1:9" x14ac:dyDescent="0.25">
      <c r="A64" s="16" t="s">
        <v>472</v>
      </c>
      <c r="B64" s="14">
        <v>24061</v>
      </c>
      <c r="C64" s="14">
        <v>25274</v>
      </c>
      <c r="D64" s="33">
        <f t="shared" si="25"/>
        <v>54.840399868501933</v>
      </c>
      <c r="E64" s="11">
        <f t="shared" si="26"/>
        <v>26313.109599999996</v>
      </c>
      <c r="F64" s="11">
        <f t="shared" si="27"/>
        <v>25274</v>
      </c>
      <c r="G64" s="83">
        <f t="shared" si="28"/>
        <v>3.9490186291018858</v>
      </c>
      <c r="H64" s="33">
        <f t="shared" si="29"/>
        <v>23110.826627651793</v>
      </c>
      <c r="I64" s="33">
        <f t="shared" si="30"/>
        <v>54.840399868501933</v>
      </c>
    </row>
    <row r="65" spans="1:9" x14ac:dyDescent="0.25">
      <c r="A65" s="16">
        <v>1901</v>
      </c>
      <c r="B65" s="14">
        <v>22025</v>
      </c>
      <c r="C65" s="14">
        <v>23535</v>
      </c>
      <c r="D65" s="33">
        <f t="shared" si="25"/>
        <v>54.064442613679539</v>
      </c>
      <c r="E65" s="11">
        <f t="shared" si="26"/>
        <v>24086.539999999997</v>
      </c>
      <c r="F65" s="11">
        <f t="shared" si="27"/>
        <v>23535</v>
      </c>
      <c r="G65" s="83">
        <f t="shared" si="28"/>
        <v>2.289826600250592</v>
      </c>
      <c r="H65" s="33">
        <f t="shared" si="29"/>
        <v>21520.665691294809</v>
      </c>
      <c r="I65" s="33">
        <f t="shared" si="30"/>
        <v>54.064442613679539</v>
      </c>
    </row>
    <row r="66" spans="1:9" x14ac:dyDescent="0.25">
      <c r="A66" s="16">
        <v>1873</v>
      </c>
      <c r="B66" s="14">
        <v>42762</v>
      </c>
      <c r="C66" s="14">
        <v>44484</v>
      </c>
      <c r="D66" s="33">
        <f t="shared" si="25"/>
        <v>55.286004906986108</v>
      </c>
      <c r="E66" s="11">
        <f t="shared" si="26"/>
        <v>46764.523199999996</v>
      </c>
      <c r="F66" s="11">
        <f t="shared" si="27"/>
        <v>44484</v>
      </c>
      <c r="G66" s="83">
        <f t="shared" si="28"/>
        <v>4.8766095406271575</v>
      </c>
      <c r="H66" s="33">
        <f t="shared" si="29"/>
        <v>40676.664228237016</v>
      </c>
      <c r="I66" s="33">
        <f t="shared" si="30"/>
        <v>55.286004906986108</v>
      </c>
    </row>
    <row r="67" spans="1:9" x14ac:dyDescent="0.25">
      <c r="A67" s="16">
        <v>1864</v>
      </c>
      <c r="B67" s="14">
        <v>27099</v>
      </c>
      <c r="C67" s="14">
        <v>28800</v>
      </c>
      <c r="D67" s="33">
        <f t="shared" si="25"/>
        <v>54.309111192392102</v>
      </c>
      <c r="E67" s="11">
        <f t="shared" si="26"/>
        <v>29635.466399999998</v>
      </c>
      <c r="F67" s="11">
        <f t="shared" si="27"/>
        <v>28800</v>
      </c>
      <c r="G67" s="83">
        <f t="shared" si="28"/>
        <v>2.8191437540527318</v>
      </c>
      <c r="H67" s="33">
        <f t="shared" si="29"/>
        <v>26335.040234089251</v>
      </c>
      <c r="I67" s="33">
        <f t="shared" si="30"/>
        <v>54.309111192392102</v>
      </c>
    </row>
    <row r="68" spans="1:9" x14ac:dyDescent="0.25">
      <c r="A68" s="16">
        <v>1879</v>
      </c>
      <c r="B68" s="14">
        <v>15061</v>
      </c>
      <c r="C68" s="14">
        <v>16220</v>
      </c>
      <c r="D68" s="33">
        <f t="shared" si="25"/>
        <v>53.714271488323057</v>
      </c>
      <c r="E68" s="11">
        <f t="shared" si="26"/>
        <v>16470.709599999998</v>
      </c>
      <c r="F68" s="11">
        <f t="shared" si="27"/>
        <v>16220</v>
      </c>
      <c r="G68" s="83">
        <f t="shared" si="28"/>
        <v>1.5221542124693741</v>
      </c>
      <c r="H68" s="33">
        <f t="shared" si="29"/>
        <v>14831.748354059986</v>
      </c>
      <c r="I68" s="33">
        <f t="shared" si="30"/>
        <v>53.714271488323057</v>
      </c>
    </row>
    <row r="69" spans="1:9" x14ac:dyDescent="0.25">
      <c r="A69" s="16">
        <v>1867</v>
      </c>
      <c r="B69" s="14">
        <v>15147</v>
      </c>
      <c r="C69" s="14">
        <v>16288</v>
      </c>
      <c r="D69" s="33">
        <f t="shared" si="25"/>
        <v>53.781635750348883</v>
      </c>
      <c r="E69" s="11">
        <f t="shared" si="26"/>
        <v>16564.759199999997</v>
      </c>
      <c r="F69" s="11">
        <f t="shared" si="27"/>
        <v>16288</v>
      </c>
      <c r="G69" s="83">
        <f t="shared" si="28"/>
        <v>1.6707710426602347</v>
      </c>
      <c r="H69" s="33">
        <f t="shared" si="29"/>
        <v>14893.928310168252</v>
      </c>
      <c r="I69" s="33">
        <f t="shared" si="30"/>
        <v>53.781635750348883</v>
      </c>
    </row>
    <row r="70" spans="1:9" x14ac:dyDescent="0.25">
      <c r="A70" s="16" t="s">
        <v>474</v>
      </c>
      <c r="B70" s="14">
        <v>17020</v>
      </c>
      <c r="C70" s="14">
        <v>18129</v>
      </c>
      <c r="D70" s="33">
        <f t="shared" si="25"/>
        <v>54.20782127016804</v>
      </c>
      <c r="E70" s="11">
        <f t="shared" si="26"/>
        <v>18613.072</v>
      </c>
      <c r="F70" s="11">
        <f t="shared" si="27"/>
        <v>18129</v>
      </c>
      <c r="G70" s="83">
        <f t="shared" si="28"/>
        <v>2.6007098667001287</v>
      </c>
      <c r="H70" s="33">
        <f t="shared" si="29"/>
        <v>16577.359180687639</v>
      </c>
      <c r="I70" s="33">
        <f t="shared" si="30"/>
        <v>54.20782127016804</v>
      </c>
    </row>
    <row r="71" spans="1:9" x14ac:dyDescent="0.25">
      <c r="A71" s="16" t="s">
        <v>28</v>
      </c>
      <c r="B71" s="35">
        <v>100849</v>
      </c>
      <c r="C71" s="35">
        <v>1768308</v>
      </c>
      <c r="D71" s="33">
        <f t="shared" si="25"/>
        <v>11.881616197176335</v>
      </c>
      <c r="E71" s="11">
        <f t="shared" si="26"/>
        <v>110288.46639999999</v>
      </c>
      <c r="F71" s="11">
        <f t="shared" si="27"/>
        <v>1768308</v>
      </c>
      <c r="G71" s="83">
        <f t="shared" si="28"/>
        <v>-1503.3480723057728</v>
      </c>
      <c r="H71" s="33">
        <f t="shared" si="29"/>
        <v>1616960.497439649</v>
      </c>
      <c r="I71" s="33">
        <f t="shared" si="30"/>
        <v>11.881616197176335</v>
      </c>
    </row>
    <row r="72" spans="1:9" x14ac:dyDescent="0.25">
      <c r="D72" s="33" t="e">
        <f t="shared" si="25"/>
        <v>#DIV/0!</v>
      </c>
      <c r="E72" s="11">
        <f t="shared" si="26"/>
        <v>0</v>
      </c>
      <c r="F72" s="11">
        <f t="shared" si="27"/>
        <v>0</v>
      </c>
      <c r="G72" s="83" t="e">
        <f t="shared" si="28"/>
        <v>#DIV/0!</v>
      </c>
      <c r="H72" s="33">
        <f t="shared" si="29"/>
        <v>0</v>
      </c>
      <c r="I72" s="33" t="e">
        <f t="shared" si="30"/>
        <v>#DIV/0!</v>
      </c>
    </row>
    <row r="73" spans="1:9" x14ac:dyDescent="0.25">
      <c r="D73" s="33" t="e">
        <f t="shared" si="25"/>
        <v>#DIV/0!</v>
      </c>
      <c r="E73" s="11">
        <f t="shared" si="26"/>
        <v>0</v>
      </c>
      <c r="F73" s="11">
        <f t="shared" si="27"/>
        <v>0</v>
      </c>
      <c r="G73" s="83" t="e">
        <f t="shared" si="28"/>
        <v>#DIV/0!</v>
      </c>
      <c r="H73" s="33">
        <f t="shared" si="29"/>
        <v>0</v>
      </c>
      <c r="I73" s="33" t="e">
        <f t="shared" si="30"/>
        <v>#DIV/0!</v>
      </c>
    </row>
    <row r="74" spans="1:9" x14ac:dyDescent="0.25">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1:9" x14ac:dyDescent="0.25">
      <c r="D75" s="33" t="e">
        <f t="shared" si="31"/>
        <v>#DIV/0!</v>
      </c>
      <c r="E75" s="11">
        <f t="shared" si="32"/>
        <v>0</v>
      </c>
      <c r="F75" s="11">
        <f t="shared" si="33"/>
        <v>0</v>
      </c>
      <c r="G75" s="83" t="e">
        <f t="shared" si="34"/>
        <v>#DIV/0!</v>
      </c>
      <c r="H75" s="33">
        <f t="shared" si="35"/>
        <v>0</v>
      </c>
      <c r="I75" s="33" t="e">
        <f t="shared" si="36"/>
        <v>#DIV/0!</v>
      </c>
    </row>
    <row r="76" spans="1:9" x14ac:dyDescent="0.25">
      <c r="D76" s="33" t="e">
        <f t="shared" si="31"/>
        <v>#DIV/0!</v>
      </c>
      <c r="E76" s="11">
        <f t="shared" si="32"/>
        <v>0</v>
      </c>
      <c r="F76" s="11">
        <f t="shared" si="33"/>
        <v>0</v>
      </c>
      <c r="G76" s="83" t="e">
        <f t="shared" si="34"/>
        <v>#DIV/0!</v>
      </c>
      <c r="H76" s="33">
        <f t="shared" si="35"/>
        <v>0</v>
      </c>
      <c r="I76" s="33" t="e">
        <f t="shared" si="36"/>
        <v>#DIV/0!</v>
      </c>
    </row>
    <row r="77" spans="1:9" x14ac:dyDescent="0.25">
      <c r="D77" s="33" t="e">
        <f t="shared" si="31"/>
        <v>#DIV/0!</v>
      </c>
      <c r="E77" s="11">
        <f t="shared" si="32"/>
        <v>0</v>
      </c>
      <c r="F77" s="11">
        <f t="shared" si="33"/>
        <v>0</v>
      </c>
      <c r="G77" s="83" t="e">
        <f t="shared" si="34"/>
        <v>#DIV/0!</v>
      </c>
      <c r="H77" s="33">
        <f t="shared" si="35"/>
        <v>0</v>
      </c>
      <c r="I77" s="33" t="e">
        <f t="shared" si="36"/>
        <v>#DIV/0!</v>
      </c>
    </row>
    <row r="78" spans="1:9" x14ac:dyDescent="0.25">
      <c r="D78" s="33" t="e">
        <f t="shared" si="31"/>
        <v>#DIV/0!</v>
      </c>
      <c r="E78" s="11">
        <f t="shared" si="32"/>
        <v>0</v>
      </c>
      <c r="F78" s="11">
        <f t="shared" si="33"/>
        <v>0</v>
      </c>
      <c r="G78" s="83" t="e">
        <f t="shared" si="34"/>
        <v>#DIV/0!</v>
      </c>
      <c r="H78" s="33">
        <f t="shared" si="35"/>
        <v>0</v>
      </c>
      <c r="I78" s="33" t="e">
        <f t="shared" si="36"/>
        <v>#DIV/0!</v>
      </c>
    </row>
    <row r="79" spans="1:9" x14ac:dyDescent="0.25">
      <c r="D79" s="33" t="e">
        <f t="shared" si="31"/>
        <v>#DIV/0!</v>
      </c>
      <c r="E79" s="11">
        <f t="shared" si="32"/>
        <v>0</v>
      </c>
      <c r="F79" s="11">
        <f t="shared" si="33"/>
        <v>0</v>
      </c>
      <c r="G79" s="83" t="e">
        <f t="shared" si="34"/>
        <v>#DIV/0!</v>
      </c>
      <c r="H79" s="33">
        <f t="shared" si="35"/>
        <v>0</v>
      </c>
      <c r="I79" s="33" t="e">
        <f t="shared" si="36"/>
        <v>#DIV/0!</v>
      </c>
    </row>
    <row r="80" spans="1:9" x14ac:dyDescent="0.25">
      <c r="D80" s="33" t="e">
        <f t="shared" si="31"/>
        <v>#DIV/0!</v>
      </c>
      <c r="E80" s="11">
        <f t="shared" si="32"/>
        <v>0</v>
      </c>
      <c r="F80" s="11">
        <f t="shared" si="33"/>
        <v>0</v>
      </c>
      <c r="G80" s="83" t="e">
        <f t="shared" si="34"/>
        <v>#DIV/0!</v>
      </c>
      <c r="H80" s="33">
        <f t="shared" si="35"/>
        <v>0</v>
      </c>
      <c r="I80" s="33" t="e">
        <f t="shared" si="36"/>
        <v>#DIV/0!</v>
      </c>
    </row>
    <row r="81" spans="4:9" x14ac:dyDescent="0.25">
      <c r="D81" s="33" t="e">
        <f t="shared" si="31"/>
        <v>#DIV/0!</v>
      </c>
      <c r="E81" s="11">
        <f t="shared" si="32"/>
        <v>0</v>
      </c>
      <c r="F81" s="11">
        <f t="shared" si="33"/>
        <v>0</v>
      </c>
      <c r="G81" s="83" t="e">
        <f t="shared" si="34"/>
        <v>#DIV/0!</v>
      </c>
      <c r="H81" s="33">
        <f t="shared" si="35"/>
        <v>0</v>
      </c>
      <c r="I81" s="33" t="e">
        <f t="shared" si="36"/>
        <v>#DIV/0!</v>
      </c>
    </row>
    <row r="82" spans="4:9" x14ac:dyDescent="0.25">
      <c r="D82" s="33" t="e">
        <f t="shared" si="31"/>
        <v>#DIV/0!</v>
      </c>
      <c r="E82" s="11">
        <f t="shared" si="32"/>
        <v>0</v>
      </c>
      <c r="F82" s="11">
        <f t="shared" si="33"/>
        <v>0</v>
      </c>
      <c r="G82" s="83" t="e">
        <f t="shared" si="34"/>
        <v>#DIV/0!</v>
      </c>
      <c r="H82" s="33">
        <f t="shared" si="35"/>
        <v>0</v>
      </c>
      <c r="I82" s="33" t="e">
        <f t="shared" si="36"/>
        <v>#DIV/0!</v>
      </c>
    </row>
    <row r="83" spans="4:9" x14ac:dyDescent="0.25">
      <c r="D83" s="33" t="e">
        <f t="shared" si="31"/>
        <v>#DIV/0!</v>
      </c>
      <c r="E83" s="11">
        <f t="shared" si="32"/>
        <v>0</v>
      </c>
      <c r="F83" s="11">
        <f t="shared" si="33"/>
        <v>0</v>
      </c>
      <c r="G83" s="83" t="e">
        <f t="shared" si="34"/>
        <v>#DIV/0!</v>
      </c>
      <c r="H83" s="33">
        <f t="shared" si="35"/>
        <v>0</v>
      </c>
      <c r="I83" s="33" t="e">
        <f t="shared" si="36"/>
        <v>#DIV/0!</v>
      </c>
    </row>
    <row r="84" spans="4:9" x14ac:dyDescent="0.25">
      <c r="D84" s="33" t="e">
        <f t="shared" si="31"/>
        <v>#DIV/0!</v>
      </c>
      <c r="E84" s="11">
        <f t="shared" si="32"/>
        <v>0</v>
      </c>
      <c r="F84" s="11">
        <f t="shared" si="33"/>
        <v>0</v>
      </c>
      <c r="G84" s="83" t="e">
        <f t="shared" si="34"/>
        <v>#DIV/0!</v>
      </c>
      <c r="H84" s="33">
        <f t="shared" si="35"/>
        <v>0</v>
      </c>
      <c r="I84" s="33" t="e">
        <f t="shared" si="36"/>
        <v>#DIV/0!</v>
      </c>
    </row>
    <row r="85" spans="4:9" x14ac:dyDescent="0.25">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25">
      <c r="D86" s="33" t="e">
        <f t="shared" si="37"/>
        <v>#DIV/0!</v>
      </c>
      <c r="E86" s="11">
        <f t="shared" si="38"/>
        <v>0</v>
      </c>
      <c r="F86" s="11">
        <f t="shared" si="39"/>
        <v>0</v>
      </c>
      <c r="G86" s="83" t="e">
        <f t="shared" si="40"/>
        <v>#DIV/0!</v>
      </c>
      <c r="H86" s="33">
        <f t="shared" si="41"/>
        <v>0</v>
      </c>
      <c r="I86" s="33" t="e">
        <f t="shared" si="42"/>
        <v>#DIV/0!</v>
      </c>
    </row>
    <row r="87" spans="4:9" x14ac:dyDescent="0.25">
      <c r="D87" s="33" t="e">
        <f t="shared" si="37"/>
        <v>#DIV/0!</v>
      </c>
      <c r="E87" s="11">
        <f t="shared" si="38"/>
        <v>0</v>
      </c>
      <c r="F87" s="11">
        <f t="shared" si="39"/>
        <v>0</v>
      </c>
      <c r="G87" s="83" t="e">
        <f t="shared" si="40"/>
        <v>#DIV/0!</v>
      </c>
      <c r="H87" s="33">
        <f t="shared" si="41"/>
        <v>0</v>
      </c>
      <c r="I87" s="33" t="e">
        <f t="shared" si="42"/>
        <v>#DIV/0!</v>
      </c>
    </row>
    <row r="88" spans="4:9" x14ac:dyDescent="0.25">
      <c r="D88" s="33" t="e">
        <f t="shared" si="37"/>
        <v>#DIV/0!</v>
      </c>
      <c r="E88" s="11">
        <f t="shared" si="38"/>
        <v>0</v>
      </c>
      <c r="F88" s="11">
        <f t="shared" si="39"/>
        <v>0</v>
      </c>
      <c r="G88" s="83" t="e">
        <f t="shared" si="40"/>
        <v>#DIV/0!</v>
      </c>
      <c r="H88" s="33">
        <f t="shared" si="41"/>
        <v>0</v>
      </c>
      <c r="I88" s="33" t="e">
        <f t="shared" si="42"/>
        <v>#DIV/0!</v>
      </c>
    </row>
    <row r="89" spans="4:9" x14ac:dyDescent="0.25">
      <c r="D89" s="33" t="e">
        <f t="shared" si="37"/>
        <v>#DIV/0!</v>
      </c>
      <c r="E89" s="11">
        <f t="shared" si="38"/>
        <v>0</v>
      </c>
      <c r="F89" s="11">
        <f t="shared" si="39"/>
        <v>0</v>
      </c>
      <c r="G89" s="83" t="e">
        <f t="shared" si="40"/>
        <v>#DIV/0!</v>
      </c>
      <c r="H89" s="33">
        <f t="shared" si="41"/>
        <v>0</v>
      </c>
      <c r="I89" s="33" t="e">
        <f t="shared" si="42"/>
        <v>#DIV/0!</v>
      </c>
    </row>
    <row r="90" spans="4:9" x14ac:dyDescent="0.25">
      <c r="D90" s="33" t="e">
        <f t="shared" si="37"/>
        <v>#DIV/0!</v>
      </c>
      <c r="E90" s="11">
        <f t="shared" si="38"/>
        <v>0</v>
      </c>
      <c r="F90" s="11">
        <f t="shared" si="39"/>
        <v>0</v>
      </c>
      <c r="G90" s="83" t="e">
        <f t="shared" si="40"/>
        <v>#DIV/0!</v>
      </c>
      <c r="H90" s="33">
        <f t="shared" si="41"/>
        <v>0</v>
      </c>
      <c r="I90" s="33" t="e">
        <f t="shared" si="42"/>
        <v>#DIV/0!</v>
      </c>
    </row>
    <row r="91" spans="4:9" x14ac:dyDescent="0.25">
      <c r="D91" s="33" t="e">
        <f t="shared" si="37"/>
        <v>#DIV/0!</v>
      </c>
      <c r="E91" s="11">
        <f t="shared" si="38"/>
        <v>0</v>
      </c>
      <c r="F91" s="11">
        <f t="shared" si="39"/>
        <v>0</v>
      </c>
      <c r="G91" s="83" t="e">
        <f t="shared" si="40"/>
        <v>#DIV/0!</v>
      </c>
      <c r="H91" s="33">
        <f t="shared" si="41"/>
        <v>0</v>
      </c>
      <c r="I91" s="33" t="e">
        <f t="shared" si="42"/>
        <v>#DIV/0!</v>
      </c>
    </row>
    <row r="92" spans="4:9" x14ac:dyDescent="0.25">
      <c r="D92" s="33" t="e">
        <f t="shared" si="37"/>
        <v>#DIV/0!</v>
      </c>
      <c r="E92" s="11">
        <f t="shared" si="38"/>
        <v>0</v>
      </c>
      <c r="F92" s="11">
        <f t="shared" si="39"/>
        <v>0</v>
      </c>
      <c r="G92" s="83" t="e">
        <f t="shared" si="40"/>
        <v>#DIV/0!</v>
      </c>
      <c r="H92" s="33">
        <f t="shared" si="41"/>
        <v>0</v>
      </c>
      <c r="I92" s="33" t="e">
        <f t="shared" si="42"/>
        <v>#DIV/0!</v>
      </c>
    </row>
    <row r="93" spans="4:9" x14ac:dyDescent="0.25">
      <c r="D93" s="33" t="e">
        <f t="shared" si="37"/>
        <v>#DIV/0!</v>
      </c>
      <c r="E93" s="11">
        <f t="shared" si="38"/>
        <v>0</v>
      </c>
      <c r="F93" s="11">
        <f t="shared" si="39"/>
        <v>0</v>
      </c>
      <c r="G93" s="83" t="e">
        <f t="shared" si="40"/>
        <v>#DIV/0!</v>
      </c>
      <c r="H93" s="33">
        <f t="shared" si="41"/>
        <v>0</v>
      </c>
      <c r="I93" s="33" t="e">
        <f t="shared" si="42"/>
        <v>#DIV/0!</v>
      </c>
    </row>
    <row r="94" spans="4:9" x14ac:dyDescent="0.25">
      <c r="D94" s="33" t="e">
        <f t="shared" si="37"/>
        <v>#DIV/0!</v>
      </c>
      <c r="E94" s="11">
        <f t="shared" si="38"/>
        <v>0</v>
      </c>
      <c r="F94" s="11">
        <f t="shared" si="39"/>
        <v>0</v>
      </c>
      <c r="G94" s="83" t="e">
        <f t="shared" si="40"/>
        <v>#DIV/0!</v>
      </c>
      <c r="H94" s="33">
        <f t="shared" si="41"/>
        <v>0</v>
      </c>
      <c r="I94" s="33" t="e">
        <f t="shared" si="42"/>
        <v>#DIV/0!</v>
      </c>
    </row>
    <row r="95" spans="4:9" x14ac:dyDescent="0.25">
      <c r="D95" s="33" t="e">
        <f t="shared" si="37"/>
        <v>#DIV/0!</v>
      </c>
      <c r="E95" s="11">
        <f t="shared" si="38"/>
        <v>0</v>
      </c>
      <c r="F95" s="11">
        <f t="shared" si="39"/>
        <v>0</v>
      </c>
      <c r="G95" s="83" t="e">
        <f t="shared" si="40"/>
        <v>#DIV/0!</v>
      </c>
      <c r="H95" s="33">
        <f t="shared" si="41"/>
        <v>0</v>
      </c>
      <c r="I95" s="33" t="e">
        <f t="shared" si="42"/>
        <v>#DIV/0!</v>
      </c>
    </row>
    <row r="96" spans="4:9" x14ac:dyDescent="0.25">
      <c r="D96" s="33" t="e">
        <f t="shared" si="37"/>
        <v>#DIV/0!</v>
      </c>
      <c r="E96" s="11">
        <f t="shared" si="38"/>
        <v>0</v>
      </c>
      <c r="F96" s="11">
        <f t="shared" si="39"/>
        <v>0</v>
      </c>
      <c r="G96" s="83" t="e">
        <f t="shared" si="40"/>
        <v>#DIV/0!</v>
      </c>
      <c r="H96" s="33">
        <f t="shared" si="41"/>
        <v>0</v>
      </c>
      <c r="I96" s="33" t="e">
        <f t="shared" si="42"/>
        <v>#DIV/0!</v>
      </c>
    </row>
    <row r="97" spans="4:9" x14ac:dyDescent="0.25">
      <c r="D97" s="33" t="e">
        <f t="shared" si="37"/>
        <v>#DIV/0!</v>
      </c>
      <c r="E97" s="11">
        <f t="shared" si="38"/>
        <v>0</v>
      </c>
      <c r="F97" s="11">
        <f t="shared" si="39"/>
        <v>0</v>
      </c>
      <c r="G97" s="83" t="e">
        <f t="shared" si="40"/>
        <v>#DIV/0!</v>
      </c>
      <c r="H97" s="33">
        <f t="shared" si="41"/>
        <v>0</v>
      </c>
      <c r="I97" s="33" t="e">
        <f t="shared" si="42"/>
        <v>#DIV/0!</v>
      </c>
    </row>
    <row r="98" spans="4:9" x14ac:dyDescent="0.25">
      <c r="D98" s="33" t="e">
        <f t="shared" si="37"/>
        <v>#DIV/0!</v>
      </c>
      <c r="E98" s="11">
        <f t="shared" si="38"/>
        <v>0</v>
      </c>
      <c r="F98" s="11">
        <f t="shared" si="39"/>
        <v>0</v>
      </c>
      <c r="G98" s="83" t="e">
        <f t="shared" si="40"/>
        <v>#DIV/0!</v>
      </c>
      <c r="H98" s="33">
        <f t="shared" si="41"/>
        <v>0</v>
      </c>
      <c r="I98" s="33" t="e">
        <f t="shared" si="42"/>
        <v>#DIV/0!</v>
      </c>
    </row>
    <row r="99" spans="4:9" x14ac:dyDescent="0.25">
      <c r="D99" s="33" t="e">
        <f t="shared" si="37"/>
        <v>#DIV/0!</v>
      </c>
      <c r="E99" s="11">
        <f t="shared" si="38"/>
        <v>0</v>
      </c>
      <c r="F99" s="11">
        <f t="shared" si="39"/>
        <v>0</v>
      </c>
      <c r="G99" s="83" t="e">
        <f t="shared" si="40"/>
        <v>#DIV/0!</v>
      </c>
      <c r="H99" s="33">
        <f t="shared" si="41"/>
        <v>0</v>
      </c>
      <c r="I99" s="33" t="e">
        <f t="shared" si="42"/>
        <v>#DIV/0!</v>
      </c>
    </row>
    <row r="100" spans="4:9" x14ac:dyDescent="0.25">
      <c r="D100" s="33" t="e">
        <f t="shared" si="37"/>
        <v>#DIV/0!</v>
      </c>
      <c r="E100" s="11">
        <f t="shared" si="38"/>
        <v>0</v>
      </c>
      <c r="F100" s="11">
        <f t="shared" si="39"/>
        <v>0</v>
      </c>
      <c r="G100" s="83" t="e">
        <f t="shared" si="40"/>
        <v>#DIV/0!</v>
      </c>
      <c r="H100" s="33">
        <f t="shared" si="41"/>
        <v>0</v>
      </c>
      <c r="I100" s="33" t="e">
        <f t="shared" si="42"/>
        <v>#DIV/0!</v>
      </c>
    </row>
    <row r="101" spans="4:9" x14ac:dyDescent="0.25">
      <c r="D101" s="33" t="e">
        <f t="shared" si="37"/>
        <v>#DIV/0!</v>
      </c>
      <c r="E101" s="11">
        <f t="shared" si="38"/>
        <v>0</v>
      </c>
      <c r="F101" s="11">
        <f t="shared" si="39"/>
        <v>0</v>
      </c>
      <c r="G101" s="83" t="e">
        <f t="shared" si="40"/>
        <v>#DIV/0!</v>
      </c>
      <c r="H101" s="33">
        <f t="shared" si="41"/>
        <v>0</v>
      </c>
      <c r="I101" s="33" t="e">
        <f t="shared" si="42"/>
        <v>#DIV/0!</v>
      </c>
    </row>
    <row r="102" spans="4:9" x14ac:dyDescent="0.25">
      <c r="D102" s="33" t="e">
        <f t="shared" si="37"/>
        <v>#DIV/0!</v>
      </c>
      <c r="E102" s="11">
        <f t="shared" si="38"/>
        <v>0</v>
      </c>
      <c r="F102" s="11">
        <f t="shared" si="39"/>
        <v>0</v>
      </c>
      <c r="G102" s="83" t="e">
        <f t="shared" si="40"/>
        <v>#DIV/0!</v>
      </c>
      <c r="H102" s="33">
        <f t="shared" si="41"/>
        <v>0</v>
      </c>
      <c r="I102" s="33" t="e">
        <f t="shared" si="42"/>
        <v>#DIV/0!</v>
      </c>
    </row>
    <row r="103" spans="4:9" x14ac:dyDescent="0.25">
      <c r="D103" s="33" t="e">
        <f t="shared" si="37"/>
        <v>#DIV/0!</v>
      </c>
      <c r="E103" s="11">
        <f t="shared" si="38"/>
        <v>0</v>
      </c>
      <c r="F103" s="11">
        <f t="shared" si="39"/>
        <v>0</v>
      </c>
      <c r="G103" s="83" t="e">
        <f t="shared" si="40"/>
        <v>#DIV/0!</v>
      </c>
      <c r="H103" s="33">
        <f t="shared" si="41"/>
        <v>0</v>
      </c>
      <c r="I103" s="33" t="e">
        <f t="shared" si="42"/>
        <v>#DIV/0!</v>
      </c>
    </row>
    <row r="104" spans="4:9" x14ac:dyDescent="0.25">
      <c r="D104" s="33" t="e">
        <f t="shared" si="37"/>
        <v>#DIV/0!</v>
      </c>
      <c r="E104" s="11">
        <f t="shared" si="38"/>
        <v>0</v>
      </c>
      <c r="F104" s="11">
        <f t="shared" si="39"/>
        <v>0</v>
      </c>
      <c r="G104" s="83" t="e">
        <f t="shared" si="40"/>
        <v>#DIV/0!</v>
      </c>
      <c r="H104" s="33">
        <f t="shared" si="41"/>
        <v>0</v>
      </c>
      <c r="I104" s="33" t="e">
        <f t="shared" si="42"/>
        <v>#DIV/0!</v>
      </c>
    </row>
    <row r="105" spans="4:9" x14ac:dyDescent="0.25">
      <c r="D105" s="33" t="e">
        <f t="shared" si="37"/>
        <v>#DIV/0!</v>
      </c>
      <c r="E105" s="11">
        <f t="shared" si="38"/>
        <v>0</v>
      </c>
      <c r="F105" s="11">
        <f t="shared" si="39"/>
        <v>0</v>
      </c>
      <c r="G105" s="83" t="e">
        <f t="shared" si="40"/>
        <v>#DIV/0!</v>
      </c>
      <c r="H105" s="33">
        <f t="shared" si="41"/>
        <v>0</v>
      </c>
      <c r="I105" s="33" t="e">
        <f t="shared" si="42"/>
        <v>#DIV/0!</v>
      </c>
    </row>
    <row r="106" spans="4:9" x14ac:dyDescent="0.25">
      <c r="D106" s="33" t="e">
        <f t="shared" si="37"/>
        <v>#DIV/0!</v>
      </c>
      <c r="E106" s="11">
        <f t="shared" si="38"/>
        <v>0</v>
      </c>
      <c r="F106" s="11">
        <f t="shared" si="39"/>
        <v>0</v>
      </c>
      <c r="G106" s="83" t="e">
        <f t="shared" si="40"/>
        <v>#DIV/0!</v>
      </c>
      <c r="H106" s="33">
        <f t="shared" si="41"/>
        <v>0</v>
      </c>
      <c r="I106" s="33" t="e">
        <f t="shared" si="42"/>
        <v>#DIV/0!</v>
      </c>
    </row>
    <row r="107" spans="4:9" x14ac:dyDescent="0.25">
      <c r="D107" s="33" t="e">
        <f t="shared" si="37"/>
        <v>#DIV/0!</v>
      </c>
      <c r="E107" s="11">
        <f t="shared" si="38"/>
        <v>0</v>
      </c>
      <c r="F107" s="11">
        <f t="shared" si="39"/>
        <v>0</v>
      </c>
      <c r="G107" s="83" t="e">
        <f t="shared" si="40"/>
        <v>#DIV/0!</v>
      </c>
      <c r="H107" s="33">
        <f t="shared" si="41"/>
        <v>0</v>
      </c>
      <c r="I107" s="33" t="e">
        <f t="shared" si="42"/>
        <v>#DIV/0!</v>
      </c>
    </row>
    <row r="108" spans="4:9" x14ac:dyDescent="0.25">
      <c r="D108" s="33" t="e">
        <f t="shared" si="37"/>
        <v>#DIV/0!</v>
      </c>
      <c r="E108" s="11">
        <f t="shared" si="38"/>
        <v>0</v>
      </c>
      <c r="F108" s="11">
        <f t="shared" si="39"/>
        <v>0</v>
      </c>
      <c r="G108" s="83" t="e">
        <f t="shared" si="40"/>
        <v>#DIV/0!</v>
      </c>
      <c r="H108" s="33">
        <f t="shared" si="41"/>
        <v>0</v>
      </c>
      <c r="I108" s="33" t="e">
        <f t="shared" si="42"/>
        <v>#DIV/0!</v>
      </c>
    </row>
    <row r="109" spans="4:9" x14ac:dyDescent="0.25">
      <c r="D109" s="33" t="e">
        <f t="shared" si="37"/>
        <v>#DIV/0!</v>
      </c>
      <c r="E109" s="11">
        <f t="shared" si="38"/>
        <v>0</v>
      </c>
      <c r="F109" s="11">
        <f t="shared" si="39"/>
        <v>0</v>
      </c>
      <c r="G109" s="83" t="e">
        <f t="shared" si="40"/>
        <v>#DIV/0!</v>
      </c>
      <c r="H109" s="33">
        <f t="shared" si="41"/>
        <v>0</v>
      </c>
      <c r="I109" s="33" t="e">
        <f t="shared" si="42"/>
        <v>#DIV/0!</v>
      </c>
    </row>
    <row r="110" spans="4:9" x14ac:dyDescent="0.25">
      <c r="D110" s="33" t="e">
        <f t="shared" si="37"/>
        <v>#DIV/0!</v>
      </c>
      <c r="E110" s="11">
        <f t="shared" si="38"/>
        <v>0</v>
      </c>
      <c r="F110" s="11">
        <f t="shared" si="39"/>
        <v>0</v>
      </c>
      <c r="G110" s="83" t="e">
        <f t="shared" si="40"/>
        <v>#DIV/0!</v>
      </c>
      <c r="H110" s="33">
        <f t="shared" si="41"/>
        <v>0</v>
      </c>
      <c r="I110" s="33" t="e">
        <f t="shared" si="42"/>
        <v>#DIV/0!</v>
      </c>
    </row>
    <row r="111" spans="4:9" x14ac:dyDescent="0.25">
      <c r="D111" s="33" t="e">
        <f t="shared" si="37"/>
        <v>#DIV/0!</v>
      </c>
      <c r="E111" s="11">
        <f t="shared" si="38"/>
        <v>0</v>
      </c>
      <c r="F111" s="11">
        <f t="shared" si="39"/>
        <v>0</v>
      </c>
      <c r="G111" s="83" t="e">
        <f t="shared" si="40"/>
        <v>#DIV/0!</v>
      </c>
      <c r="H111" s="33">
        <f t="shared" si="41"/>
        <v>0</v>
      </c>
      <c r="I111" s="33" t="e">
        <f t="shared" si="42"/>
        <v>#DIV/0!</v>
      </c>
    </row>
    <row r="112" spans="4:9" x14ac:dyDescent="0.25">
      <c r="D112" s="33" t="e">
        <f t="shared" si="37"/>
        <v>#DIV/0!</v>
      </c>
      <c r="E112" s="11">
        <f t="shared" si="38"/>
        <v>0</v>
      </c>
      <c r="F112" s="11">
        <f t="shared" si="39"/>
        <v>0</v>
      </c>
      <c r="G112" s="83" t="e">
        <f t="shared" si="40"/>
        <v>#DIV/0!</v>
      </c>
      <c r="H112" s="33">
        <f t="shared" si="41"/>
        <v>0</v>
      </c>
      <c r="I112" s="33" t="e">
        <f t="shared" si="42"/>
        <v>#DIV/0!</v>
      </c>
    </row>
    <row r="113" spans="4:9" x14ac:dyDescent="0.25">
      <c r="D113" s="33" t="e">
        <f t="shared" si="37"/>
        <v>#DIV/0!</v>
      </c>
      <c r="E113" s="11">
        <f t="shared" si="38"/>
        <v>0</v>
      </c>
      <c r="F113" s="11">
        <f t="shared" si="39"/>
        <v>0</v>
      </c>
      <c r="G113" s="83" t="e">
        <f t="shared" si="40"/>
        <v>#DIV/0!</v>
      </c>
      <c r="H113" s="33">
        <f t="shared" si="41"/>
        <v>0</v>
      </c>
      <c r="I113" s="33" t="e">
        <f t="shared" si="42"/>
        <v>#DIV/0!</v>
      </c>
    </row>
    <row r="114" spans="4:9" x14ac:dyDescent="0.25">
      <c r="D114" s="33" t="e">
        <f t="shared" si="37"/>
        <v>#DIV/0!</v>
      </c>
      <c r="E114" s="11">
        <f t="shared" si="38"/>
        <v>0</v>
      </c>
      <c r="F114" s="11">
        <f t="shared" si="39"/>
        <v>0</v>
      </c>
      <c r="G114" s="83" t="e">
        <f t="shared" si="40"/>
        <v>#DIV/0!</v>
      </c>
      <c r="H114" s="33">
        <f t="shared" si="41"/>
        <v>0</v>
      </c>
      <c r="I114" s="33" t="e">
        <f t="shared" si="42"/>
        <v>#DIV/0!</v>
      </c>
    </row>
    <row r="115" spans="4:9" x14ac:dyDescent="0.25">
      <c r="D115" s="33" t="e">
        <f t="shared" si="37"/>
        <v>#DIV/0!</v>
      </c>
      <c r="E115" s="11">
        <f t="shared" si="38"/>
        <v>0</v>
      </c>
      <c r="F115" s="11">
        <f t="shared" si="39"/>
        <v>0</v>
      </c>
      <c r="G115" s="83" t="e">
        <f t="shared" si="40"/>
        <v>#DIV/0!</v>
      </c>
      <c r="H115" s="33">
        <f t="shared" si="41"/>
        <v>0</v>
      </c>
      <c r="I115" s="33" t="e">
        <f t="shared" si="42"/>
        <v>#DIV/0!</v>
      </c>
    </row>
    <row r="116" spans="4:9" x14ac:dyDescent="0.25">
      <c r="D116" s="33" t="e">
        <f t="shared" si="37"/>
        <v>#DIV/0!</v>
      </c>
      <c r="E116" s="11">
        <f t="shared" si="38"/>
        <v>0</v>
      </c>
      <c r="F116" s="11">
        <f t="shared" si="39"/>
        <v>0</v>
      </c>
      <c r="G116" s="83" t="e">
        <f t="shared" si="40"/>
        <v>#DIV/0!</v>
      </c>
      <c r="H116" s="33">
        <f t="shared" si="41"/>
        <v>0</v>
      </c>
      <c r="I116" s="33" t="e">
        <f t="shared" si="42"/>
        <v>#DIV/0!</v>
      </c>
    </row>
    <row r="117" spans="4:9" x14ac:dyDescent="0.25">
      <c r="D117" s="33" t="e">
        <f t="shared" si="37"/>
        <v>#DIV/0!</v>
      </c>
      <c r="E117" s="11">
        <f t="shared" si="38"/>
        <v>0</v>
      </c>
      <c r="F117" s="11">
        <f t="shared" si="39"/>
        <v>0</v>
      </c>
      <c r="G117" s="83" t="e">
        <f t="shared" si="40"/>
        <v>#DIV/0!</v>
      </c>
      <c r="H117" s="33">
        <f t="shared" si="41"/>
        <v>0</v>
      </c>
      <c r="I117" s="33" t="e">
        <f t="shared" si="42"/>
        <v>#DIV/0!</v>
      </c>
    </row>
    <row r="118" spans="4:9" x14ac:dyDescent="0.25">
      <c r="D118" s="33" t="e">
        <f t="shared" si="37"/>
        <v>#DIV/0!</v>
      </c>
      <c r="E118" s="11">
        <f t="shared" si="38"/>
        <v>0</v>
      </c>
      <c r="F118" s="11">
        <f t="shared" si="39"/>
        <v>0</v>
      </c>
      <c r="G118" s="83" t="e">
        <f t="shared" si="40"/>
        <v>#DIV/0!</v>
      </c>
      <c r="H118" s="33">
        <f t="shared" si="41"/>
        <v>0</v>
      </c>
      <c r="I118" s="33" t="e">
        <f t="shared" si="42"/>
        <v>#DIV/0!</v>
      </c>
    </row>
    <row r="119" spans="4:9" x14ac:dyDescent="0.25">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5" x14ac:dyDescent="0.25"/>
  <cols>
    <col min="2" max="2" width="10.28515625" bestFit="1" customWidth="1"/>
    <col min="4" max="4" width="9.28515625" customWidth="1"/>
    <col min="8" max="8" width="10.28515625" bestFit="1" customWidth="1"/>
    <col min="10" max="10" width="9.28515625" customWidth="1"/>
  </cols>
  <sheetData>
    <row r="2" spans="2:10" x14ac:dyDescent="0.25">
      <c r="B2" t="s">
        <v>75</v>
      </c>
      <c r="C2" t="s">
        <v>45</v>
      </c>
      <c r="D2" t="s">
        <v>46</v>
      </c>
      <c r="E2" t="s">
        <v>66</v>
      </c>
      <c r="H2" t="s">
        <v>75</v>
      </c>
      <c r="I2" t="s">
        <v>45</v>
      </c>
      <c r="J2" t="s">
        <v>46</v>
      </c>
    </row>
    <row r="3" spans="2:10" x14ac:dyDescent="0.25">
      <c r="B3" s="1">
        <v>45947</v>
      </c>
      <c r="C3" t="s">
        <v>116</v>
      </c>
      <c r="D3">
        <f>SUMIFS(Table14[Debit], Table14[Date], Table5[[#This Row],[Date]], Table14[Party], "Rashan")</f>
        <v>0</v>
      </c>
      <c r="H3" s="1">
        <v>45947</v>
      </c>
      <c r="J3">
        <f>SUMIFS(Table14[Debit], Table14[Date], Table15[[#This Row],[Date]], Table14[Party], "Parts")</f>
        <v>0</v>
      </c>
    </row>
    <row r="4" spans="2:10" x14ac:dyDescent="0.25">
      <c r="B4" s="1">
        <v>45948</v>
      </c>
      <c r="C4" t="s">
        <v>116</v>
      </c>
      <c r="D4">
        <f>SUMIFS(Table14[Debit], Table14[Date], Table5[[#This Row],[Date]], Table14[Party], "Rashan")</f>
        <v>0</v>
      </c>
      <c r="H4" s="1">
        <v>45948</v>
      </c>
      <c r="I4" t="s">
        <v>55</v>
      </c>
      <c r="J4">
        <f>SUMIFS(Table14[Debit], Table14[Date], Table15[[#This Row],[Date]], Table14[Party], "Parts")</f>
        <v>44870</v>
      </c>
    </row>
    <row r="5" spans="2:10" x14ac:dyDescent="0.25">
      <c r="B5" s="1">
        <v>45949</v>
      </c>
      <c r="C5" t="s">
        <v>116</v>
      </c>
      <c r="D5">
        <f>SUMIFS(Table14[Debit], Table14[Date], Table5[[#This Row],[Date]], Table14[Party], "Rashan")</f>
        <v>0</v>
      </c>
      <c r="H5" s="1">
        <v>45949</v>
      </c>
      <c r="I5" t="s">
        <v>55</v>
      </c>
      <c r="J5">
        <f>SUMIFS(Table14[Debit], Table14[Date], Table15[[#This Row],[Date]], Table14[Party], "Parts")</f>
        <v>0</v>
      </c>
    </row>
    <row r="6" spans="2:10" x14ac:dyDescent="0.25">
      <c r="B6" s="1">
        <v>45950</v>
      </c>
      <c r="C6" t="s">
        <v>116</v>
      </c>
      <c r="D6">
        <f>SUMIFS(Table14[Debit], Table14[Date], Table5[[#This Row],[Date]], Table14[Party], "Rashan")</f>
        <v>0</v>
      </c>
      <c r="H6" s="1">
        <v>45950</v>
      </c>
      <c r="I6" t="s">
        <v>55</v>
      </c>
      <c r="J6">
        <f>SUMIFS(Table14[Debit], Table14[Date], Table15[[#This Row],[Date]], Table14[Party], "Parts")</f>
        <v>0</v>
      </c>
    </row>
    <row r="7" spans="2:10" x14ac:dyDescent="0.25">
      <c r="B7" s="1">
        <v>45951</v>
      </c>
      <c r="C7" t="s">
        <v>116</v>
      </c>
      <c r="D7">
        <f>SUMIFS(Table14[Debit], Table14[Date], Table5[[#This Row],[Date]], Table14[Party], "Rashan")</f>
        <v>0</v>
      </c>
      <c r="H7" s="1">
        <v>45951</v>
      </c>
      <c r="I7" t="s">
        <v>55</v>
      </c>
      <c r="J7">
        <f>SUMIFS(Table14[Debit], Table14[Date], Table15[[#This Row],[Date]], Table14[Party], "Parts")</f>
        <v>20800</v>
      </c>
    </row>
    <row r="8" spans="2:10" x14ac:dyDescent="0.25">
      <c r="B8" s="1">
        <v>45952</v>
      </c>
      <c r="C8" t="s">
        <v>116</v>
      </c>
      <c r="D8">
        <f>SUMIFS(Table14[Debit], Table14[Date], Table5[[#This Row],[Date]], Table14[Party], "Rashan")</f>
        <v>0</v>
      </c>
      <c r="H8" s="1">
        <v>45952</v>
      </c>
      <c r="J8">
        <f>SUMIFS(Table14[Debit], Table14[Date], Table15[[#This Row],[Date]], Table14[Party], "Parts")</f>
        <v>28310</v>
      </c>
    </row>
    <row r="9" spans="2:10" x14ac:dyDescent="0.25">
      <c r="B9" s="1">
        <v>45953</v>
      </c>
      <c r="C9" t="s">
        <v>116</v>
      </c>
      <c r="D9">
        <f>SUMIFS(Table14[Debit], Table14[Date], Table5[[#This Row],[Date]], Table14[Party], "Rashan")</f>
        <v>18245</v>
      </c>
      <c r="H9" s="1">
        <v>45953</v>
      </c>
      <c r="J9">
        <f>SUMIFS(Table14[Debit], Table14[Date], Table15[[#This Row],[Date]], Table14[Party], "Parts")</f>
        <v>9550</v>
      </c>
    </row>
    <row r="10" spans="2:10" x14ac:dyDescent="0.25">
      <c r="B10" s="1">
        <v>45954</v>
      </c>
      <c r="C10" t="s">
        <v>116</v>
      </c>
      <c r="D10">
        <f>SUMIFS(Table14[Debit], Table14[Date], Table5[[#This Row],[Date]], Table14[Party], "Rashan")</f>
        <v>0</v>
      </c>
      <c r="H10" s="1">
        <v>45954</v>
      </c>
      <c r="J10">
        <f>SUMIFS(Table14[Debit], Table14[Date], Table15[[#This Row],[Date]], Table14[Party], "Parts")</f>
        <v>52400</v>
      </c>
    </row>
    <row r="11" spans="2:10" x14ac:dyDescent="0.25">
      <c r="B11" s="1">
        <v>45955</v>
      </c>
      <c r="C11" t="s">
        <v>116</v>
      </c>
      <c r="D11">
        <f>SUMIFS(Table14[Debit], Table14[Date], Table5[[#This Row],[Date]], Table14[Party], "Rashan")</f>
        <v>20000</v>
      </c>
      <c r="H11" s="1">
        <v>45955</v>
      </c>
      <c r="J11">
        <f>SUMIFS(Table14[Debit], Table14[Date], Table15[[#This Row],[Date]], Table14[Party], "Parts")</f>
        <v>20000</v>
      </c>
    </row>
    <row r="12" spans="2:10" x14ac:dyDescent="0.25">
      <c r="B12" s="1">
        <v>45956</v>
      </c>
      <c r="C12" t="s">
        <v>116</v>
      </c>
      <c r="D12">
        <f>SUMIFS(Table14[Debit], Table14[Date], Table5[[#This Row],[Date]], Table14[Party], "Rashan")</f>
        <v>0</v>
      </c>
      <c r="H12" s="1">
        <v>45956</v>
      </c>
      <c r="J12">
        <f>SUMIFS(Table14[Debit], Table14[Date], Table15[[#This Row],[Date]], Table14[Party], "Parts")</f>
        <v>20000</v>
      </c>
    </row>
    <row r="13" spans="2:10" x14ac:dyDescent="0.25">
      <c r="B13" s="1">
        <v>45957</v>
      </c>
      <c r="C13" t="s">
        <v>116</v>
      </c>
      <c r="D13">
        <f>SUMIFS(Table14[Debit], Table14[Date], Table5[[#This Row],[Date]], Table14[Party], "Rashan")</f>
        <v>0</v>
      </c>
      <c r="H13" s="1">
        <v>45957</v>
      </c>
      <c r="J13">
        <f>SUMIFS(Table14[Debit], Table14[Date], Table15[[#This Row],[Date]], Table14[Party], "Parts")</f>
        <v>22550</v>
      </c>
    </row>
    <row r="14" spans="2:10" x14ac:dyDescent="0.25">
      <c r="B14" s="1">
        <v>45958</v>
      </c>
      <c r="C14" t="s">
        <v>116</v>
      </c>
      <c r="D14">
        <f>SUMIFS(Table14[Debit], Table14[Date], Table5[[#This Row],[Date]], Table14[Party], "Rashan")</f>
        <v>0</v>
      </c>
      <c r="H14" s="1">
        <v>45958</v>
      </c>
      <c r="J14">
        <f>SUMIFS(Table14[Debit], Table14[Date], Table15[[#This Row],[Date]], Table14[Party], "Parts")</f>
        <v>1200</v>
      </c>
    </row>
    <row r="15" spans="2:10" x14ac:dyDescent="0.25">
      <c r="B15" s="1">
        <v>45959</v>
      </c>
      <c r="C15" t="s">
        <v>116</v>
      </c>
      <c r="D15">
        <f>SUMIFS(Table14[Debit], Table14[Date], Table5[[#This Row],[Date]], Table14[Party], "Rashan")</f>
        <v>0</v>
      </c>
      <c r="H15" s="1">
        <v>45959</v>
      </c>
      <c r="J15">
        <f>SUMIFS(Table14[Debit], Table14[Date], Table15[[#This Row],[Date]], Table14[Party], "Parts")</f>
        <v>5040</v>
      </c>
    </row>
    <row r="16" spans="2:10" x14ac:dyDescent="0.25">
      <c r="B16" s="1">
        <v>45960</v>
      </c>
      <c r="C16" t="s">
        <v>116</v>
      </c>
      <c r="D16">
        <f>SUMIFS(Table14[Debit], Table14[Date], Table5[[#This Row],[Date]], Table14[Party], "Rashan")</f>
        <v>0</v>
      </c>
      <c r="H16" s="1">
        <v>45960</v>
      </c>
      <c r="J16">
        <f>SUMIFS(Table14[Debit], Table14[Date], Table15[[#This Row],[Date]], Table14[Party], "Parts")</f>
        <v>890</v>
      </c>
    </row>
    <row r="17" spans="2:10" x14ac:dyDescent="0.25">
      <c r="B17" s="1">
        <v>45961</v>
      </c>
      <c r="C17" t="s">
        <v>116</v>
      </c>
      <c r="D17">
        <f>SUMIFS(Table14[Debit], Table14[Date], Table5[[#This Row],[Date]], Table14[Party], "Rashan")</f>
        <v>0</v>
      </c>
      <c r="H17" s="1">
        <v>45961</v>
      </c>
      <c r="J17">
        <f>SUMIFS(Table14[Debit], Table14[Date], Table15[[#This Row],[Date]], Table14[Party], "Parts")</f>
        <v>0</v>
      </c>
    </row>
    <row r="18" spans="2:10" x14ac:dyDescent="0.25">
      <c r="B18" s="1">
        <v>45962</v>
      </c>
      <c r="C18" t="s">
        <v>116</v>
      </c>
      <c r="D18">
        <f>SUMIFS(Table14[Debit], Table14[Date], Table5[[#This Row],[Date]], Table14[Party], "Rashan")</f>
        <v>4330</v>
      </c>
      <c r="H18" s="1">
        <v>45962</v>
      </c>
      <c r="J18">
        <f>SUMIFS(Table14[Debit], Table14[Date], Table15[[#This Row],[Date]], Table14[Party], "Parts")</f>
        <v>30000</v>
      </c>
    </row>
    <row r="19" spans="2:10" x14ac:dyDescent="0.25">
      <c r="B19" s="1">
        <v>45963</v>
      </c>
      <c r="C19" t="s">
        <v>116</v>
      </c>
      <c r="D19">
        <f>SUMIFS(Table14[Debit], Table14[Date], Table5[[#This Row],[Date]], Table14[Party], "Rashan")</f>
        <v>0</v>
      </c>
      <c r="H19" s="1">
        <v>45963</v>
      </c>
      <c r="J19">
        <f>SUMIFS(Table14[Debit], Table14[Date], Table15[[#This Row],[Date]], Table14[Party], "Parts")</f>
        <v>0</v>
      </c>
    </row>
    <row r="20" spans="2:10" x14ac:dyDescent="0.25">
      <c r="B20" s="1">
        <v>45964</v>
      </c>
      <c r="C20" t="s">
        <v>116</v>
      </c>
      <c r="D20">
        <f>SUMIFS(Table14[Debit], Table14[Date], Table5[[#This Row],[Date]], Table14[Party], "Rashan")</f>
        <v>30480</v>
      </c>
      <c r="H20" s="1">
        <v>45964</v>
      </c>
      <c r="J20">
        <f>SUMIFS(Table14[Debit], Table14[Date], Table15[[#This Row],[Date]], Table14[Party], "Parts")</f>
        <v>27095</v>
      </c>
    </row>
    <row r="21" spans="2:10" x14ac:dyDescent="0.25">
      <c r="B21" s="1">
        <v>45965</v>
      </c>
      <c r="C21" t="s">
        <v>116</v>
      </c>
      <c r="D21">
        <f>SUMIFS(Table14[Debit], Table14[Date], Table5[[#This Row],[Date]], Table14[Party], "Rashan")</f>
        <v>20000</v>
      </c>
      <c r="H21" s="1">
        <v>45965</v>
      </c>
      <c r="J21">
        <f>SUMIFS(Table14[Debit], Table14[Date], Table15[[#This Row],[Date]], Table14[Party], "Parts")</f>
        <v>20230</v>
      </c>
    </row>
    <row r="22" spans="2:10" x14ac:dyDescent="0.25">
      <c r="B22" s="1">
        <v>45966</v>
      </c>
      <c r="C22" t="s">
        <v>116</v>
      </c>
      <c r="D22">
        <f>SUMIFS(Table14[Debit], Table14[Date], Table5[[#This Row],[Date]], Table14[Party], "Rashan")</f>
        <v>0</v>
      </c>
      <c r="H22" s="1">
        <v>45966</v>
      </c>
      <c r="J22">
        <f>SUMIFS(Table14[Debit], Table14[Date], Table15[[#This Row],[Date]], Table14[Party], "Parts")</f>
        <v>0</v>
      </c>
    </row>
    <row r="23" spans="2:10" x14ac:dyDescent="0.25">
      <c r="B23" s="1">
        <v>45967</v>
      </c>
      <c r="C23" t="s">
        <v>116</v>
      </c>
      <c r="D23">
        <f>SUMIFS(Table14[Debit], Table14[Date], Table5[[#This Row],[Date]], Table14[Party], "Rashan")</f>
        <v>8850</v>
      </c>
      <c r="H23" s="1">
        <v>45967</v>
      </c>
      <c r="J23">
        <f>SUMIFS(Table14[Debit], Table14[Date], Table15[[#This Row],[Date]], Table14[Party], "Parts")</f>
        <v>2290</v>
      </c>
    </row>
    <row r="24" spans="2:10" x14ac:dyDescent="0.25">
      <c r="B24" s="1">
        <v>45968</v>
      </c>
      <c r="C24" t="s">
        <v>116</v>
      </c>
      <c r="D24">
        <f>SUMIFS(Table14[Debit], Table14[Date], Table5[[#This Row],[Date]], Table14[Party], "Rashan")</f>
        <v>0</v>
      </c>
      <c r="H24" s="1">
        <v>45968</v>
      </c>
      <c r="J24">
        <f>SUMIFS(Table14[Debit], Table14[Date], Table15[[#This Row],[Date]], Table14[Party], "Parts")</f>
        <v>14261</v>
      </c>
    </row>
    <row r="25" spans="2:10" x14ac:dyDescent="0.25">
      <c r="B25" s="1">
        <v>45969</v>
      </c>
      <c r="C25" t="s">
        <v>116</v>
      </c>
      <c r="D25">
        <f>SUMIFS(Table14[Debit], Table14[Date], Table5[[#This Row],[Date]], Table14[Party], "Rashan")</f>
        <v>0</v>
      </c>
      <c r="H25" s="1">
        <v>45969</v>
      </c>
      <c r="J25">
        <f>SUMIFS(Table14[Debit], Table14[Date], Table15[[#This Row],[Date]], Table14[Party], "Parts")</f>
        <v>17556</v>
      </c>
    </row>
    <row r="26" spans="2:10" x14ac:dyDescent="0.25">
      <c r="B26" s="1">
        <v>45970</v>
      </c>
      <c r="C26" t="s">
        <v>116</v>
      </c>
      <c r="D26">
        <f>SUMIFS(Table14[Debit], Table14[Date], Table5[[#This Row],[Date]], Table14[Party], "Rashan")</f>
        <v>0</v>
      </c>
      <c r="H26" s="1">
        <v>45970</v>
      </c>
      <c r="J26">
        <f>SUMIFS(Table14[Debit], Table14[Date], Table15[[#This Row],[Date]], Table14[Party], "Parts")</f>
        <v>0</v>
      </c>
    </row>
    <row r="27" spans="2:10" x14ac:dyDescent="0.25">
      <c r="B27" s="1">
        <v>45971</v>
      </c>
      <c r="C27" t="s">
        <v>116</v>
      </c>
      <c r="D27">
        <f>SUMIFS(Table14[Debit], Table14[Date], Table5[[#This Row],[Date]], Table14[Party], "Rashan")</f>
        <v>20000</v>
      </c>
      <c r="H27" s="1">
        <v>45971</v>
      </c>
      <c r="J27">
        <f>SUMIFS(Table14[Debit], Table14[Date], Table15[[#This Row],[Date]], Table14[Party], "Parts")</f>
        <v>24780</v>
      </c>
    </row>
    <row r="28" spans="2:10" x14ac:dyDescent="0.25">
      <c r="B28" s="1">
        <v>45972</v>
      </c>
      <c r="C28" t="s">
        <v>116</v>
      </c>
      <c r="D28">
        <f>SUMIFS(Table14[Debit], Table14[Date], Table5[[#This Row],[Date]], Table14[Party], "Rashan")</f>
        <v>0</v>
      </c>
      <c r="H28" s="1">
        <v>45972</v>
      </c>
      <c r="J28">
        <f>SUMIFS(Table14[Debit], Table14[Date], Table15[[#This Row],[Date]], Table14[Party], "Parts")</f>
        <v>3780</v>
      </c>
    </row>
    <row r="29" spans="2:10" x14ac:dyDescent="0.25">
      <c r="B29" s="1">
        <v>45973</v>
      </c>
      <c r="C29" t="s">
        <v>116</v>
      </c>
      <c r="D29">
        <f>SUMIFS(Table14[Debit], Table14[Date], Table5[[#This Row],[Date]], Table14[Party], "Rashan")</f>
        <v>0</v>
      </c>
      <c r="H29" s="1">
        <v>45973</v>
      </c>
      <c r="J29">
        <f>SUMIFS(Table14[Debit], Table14[Date], Table15[[#This Row],[Date]], Table14[Party], "Parts")</f>
        <v>3600</v>
      </c>
    </row>
    <row r="30" spans="2:10" x14ac:dyDescent="0.25">
      <c r="B30" s="1">
        <v>45974</v>
      </c>
      <c r="C30" t="s">
        <v>116</v>
      </c>
      <c r="D30">
        <f>SUMIFS(Table14[Debit], Table14[Date], Table5[[#This Row],[Date]], Table14[Party], "Rashan")</f>
        <v>17715</v>
      </c>
      <c r="H30" s="1">
        <v>45974</v>
      </c>
      <c r="J30">
        <f>SUMIFS(Table14[Debit], Table14[Date], Table15[[#This Row],[Date]], Table14[Party], "Parts")</f>
        <v>7140</v>
      </c>
    </row>
    <row r="31" spans="2:10" x14ac:dyDescent="0.25">
      <c r="B31" s="1">
        <v>45975</v>
      </c>
      <c r="C31" t="s">
        <v>116</v>
      </c>
      <c r="D31">
        <f>SUMIFS(Table14[Debit], Table14[Date], Table5[[#This Row],[Date]], Table14[Party], "Rashan")</f>
        <v>0</v>
      </c>
      <c r="H31" s="1">
        <v>45975</v>
      </c>
      <c r="J31">
        <f>SUMIFS(Table14[Debit], Table14[Date], Table15[[#This Row],[Date]], Table14[Party], "Parts")</f>
        <v>33620</v>
      </c>
    </row>
    <row r="32" spans="2:10" x14ac:dyDescent="0.25">
      <c r="B32" s="1">
        <v>45976</v>
      </c>
      <c r="C32" t="s">
        <v>116</v>
      </c>
      <c r="D32">
        <f>SUMIFS(Table14[Debit], Table14[Date], Table5[[#This Row],[Date]], Table14[Party], "Rashan")</f>
        <v>0</v>
      </c>
      <c r="H32" s="1">
        <v>45976</v>
      </c>
      <c r="J32">
        <f>SUMIFS(Table14[Debit], Table14[Date], Table15[[#This Row],[Date]], Table14[Party], "Parts")</f>
        <v>47780</v>
      </c>
    </row>
    <row r="33" spans="2:10" x14ac:dyDescent="0.25">
      <c r="B33" s="1">
        <v>45977</v>
      </c>
      <c r="C33" t="s">
        <v>116</v>
      </c>
      <c r="D33">
        <f>SUMIFS(Table14[Debit], Table14[Date], Table5[[#This Row],[Date]], Table14[Party], "Rashan")</f>
        <v>0</v>
      </c>
      <c r="H33" s="1">
        <v>45977</v>
      </c>
      <c r="J33">
        <f>SUMIFS(Table14[Debit], Table14[Date], Table15[[#This Row],[Date]], Table14[Party], "Parts")</f>
        <v>0</v>
      </c>
    </row>
    <row r="34" spans="2:10" x14ac:dyDescent="0.25">
      <c r="B34" s="1">
        <v>45978</v>
      </c>
      <c r="C34" t="s">
        <v>116</v>
      </c>
      <c r="D34">
        <f>SUMIFS(Table14[Debit], Table14[Date], Table5[[#This Row],[Date]], Table14[Party], "Rashan")</f>
        <v>2330</v>
      </c>
      <c r="H34" s="1">
        <v>45978</v>
      </c>
      <c r="J34">
        <f>SUMIFS(Table14[Debit], Table14[Date], Table15[[#This Row],[Date]], Table14[Party], "Parts")</f>
        <v>20900</v>
      </c>
    </row>
    <row r="35" spans="2:10" x14ac:dyDescent="0.25">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3" sqref="C3"/>
    </sheetView>
  </sheetViews>
  <sheetFormatPr defaultRowHeight="15" x14ac:dyDescent="0.25"/>
  <cols>
    <col min="1" max="1" width="16.7109375" customWidth="1"/>
    <col min="2" max="2" width="20.28515625" customWidth="1"/>
    <col min="3" max="3" width="17" customWidth="1"/>
  </cols>
  <sheetData>
    <row r="1" spans="1:3" x14ac:dyDescent="0.25">
      <c r="A1" t="s">
        <v>2</v>
      </c>
      <c r="B1" t="s">
        <v>17</v>
      </c>
      <c r="C1" s="123" t="s">
        <v>18</v>
      </c>
    </row>
    <row r="2" spans="1:3" ht="21" x14ac:dyDescent="0.35">
      <c r="A2" s="125" t="str">
        <f>Billing!Q5</f>
        <v>BSC</v>
      </c>
      <c r="B2" s="128">
        <f>Billing!AA5</f>
        <v>18411676</v>
      </c>
      <c r="C2" s="126">
        <f>Billing!AB5</f>
        <v>2030205.8580834009</v>
      </c>
    </row>
    <row r="3" spans="1:3" ht="21" x14ac:dyDescent="0.35">
      <c r="A3" s="125" t="str">
        <f>Billing!Q6</f>
        <v>Ejaz Sahab</v>
      </c>
      <c r="B3" s="128">
        <f>Billing!AA6</f>
        <v>3163904</v>
      </c>
      <c r="C3" s="126">
        <f>Billing!AB6</f>
        <v>-364693.13679590356</v>
      </c>
    </row>
    <row r="4" spans="1:3" ht="21" x14ac:dyDescent="0.35">
      <c r="A4" s="125" t="str">
        <f>Billing!Q7</f>
        <v>Arshad</v>
      </c>
      <c r="B4" s="128">
        <f>Billing!AA7</f>
        <v>4102935</v>
      </c>
      <c r="C4" s="127">
        <f>Billing!AB7</f>
        <v>409.91587417759001</v>
      </c>
    </row>
    <row r="5" spans="1:3" ht="21" x14ac:dyDescent="0.35">
      <c r="A5" s="125" t="str">
        <f>Billing!Q8</f>
        <v>Shehzad Kamoki</v>
      </c>
      <c r="B5" s="128">
        <f>Billing!AA8</f>
        <v>1268740</v>
      </c>
      <c r="C5" s="127">
        <f>Billing!AB8</f>
        <v>530.34403803967871</v>
      </c>
    </row>
    <row r="6" spans="1:3" ht="21" x14ac:dyDescent="0.35">
      <c r="A6" s="125" t="str">
        <f>Billing!Q9</f>
        <v>Sufi Nawaz Sahab</v>
      </c>
      <c r="B6" s="128">
        <f>Billing!AA9</f>
        <v>10629100</v>
      </c>
      <c r="C6" s="126">
        <f>Billing!AB9</f>
        <v>609704.47256766632</v>
      </c>
    </row>
    <row r="7" spans="1:3" ht="21" x14ac:dyDescent="0.35">
      <c r="A7" s="125" t="str">
        <f>Billing!Q10</f>
        <v>Sajad Khan</v>
      </c>
      <c r="B7" s="128">
        <f>Billing!AA10</f>
        <v>5544810</v>
      </c>
      <c r="C7" s="126">
        <f>Billing!AB10</f>
        <v>918.78566203359514</v>
      </c>
    </row>
    <row r="8" spans="1:3" ht="21" x14ac:dyDescent="0.35">
      <c r="A8" s="125" t="str">
        <f>Billing!Q11</f>
        <v>Raaz Fabrics</v>
      </c>
      <c r="B8" s="128">
        <f>Billing!AA11</f>
        <v>900000</v>
      </c>
      <c r="C8" s="127">
        <f>Billing!AB11</f>
        <v>22787.125091441208</v>
      </c>
    </row>
    <row r="9" spans="1:3" ht="21" x14ac:dyDescent="0.35">
      <c r="A9" s="125" t="str">
        <f>Billing!Q12</f>
        <v>Azam</v>
      </c>
      <c r="B9" s="128">
        <f>Billing!AA12</f>
        <v>1617620</v>
      </c>
      <c r="C9" s="126">
        <f>Billing!AB12</f>
        <v>327915.84491587454</v>
      </c>
    </row>
    <row r="10" spans="1:3" ht="21" x14ac:dyDescent="0.35">
      <c r="A10" s="125" t="str">
        <f>Billing!Q13</f>
        <v>Ubaidullah</v>
      </c>
      <c r="B10" s="128">
        <f>Billing!AA13</f>
        <v>630150</v>
      </c>
      <c r="C10" s="126">
        <f>Billing!AB13</f>
        <v>11124.689100219635</v>
      </c>
    </row>
    <row r="11" spans="1:3" ht="21" x14ac:dyDescent="0.35">
      <c r="A11" s="125" t="str">
        <f>Billing!Q14</f>
        <v>Ashraf Zia</v>
      </c>
      <c r="B11" s="128">
        <f>Billing!AA14</f>
        <v>0</v>
      </c>
      <c r="C11" s="126">
        <f>Billing!AB14</f>
        <v>255724.21360643749</v>
      </c>
    </row>
    <row r="12" spans="1:3" ht="21" x14ac:dyDescent="0.35">
      <c r="A12" s="125" t="str">
        <f>Billing!Q15</f>
        <v>Hafiz Qureshi</v>
      </c>
      <c r="B12" s="128">
        <f>Billing!AA15</f>
        <v>1200000</v>
      </c>
      <c r="C12" s="126">
        <f>Billing!AB15</f>
        <v>11512.435991221806</v>
      </c>
    </row>
    <row r="13" spans="1:3" ht="21" x14ac:dyDescent="0.35">
      <c r="A13" s="125" t="str">
        <f>Billing!Q16</f>
        <v>Badshah Fabrics</v>
      </c>
      <c r="B13" s="128">
        <f>Billing!AA16</f>
        <v>4000544</v>
      </c>
      <c r="C13" s="126">
        <f>Billing!AB16</f>
        <v>175216.79005120741</v>
      </c>
    </row>
    <row r="14" spans="1:3" ht="21" x14ac:dyDescent="0.35">
      <c r="A14" s="125" t="str">
        <f>Billing!Q17</f>
        <v>Reject</v>
      </c>
      <c r="B14" s="128">
        <f>Billing!AA17</f>
        <v>0</v>
      </c>
      <c r="C14" s="126">
        <f>Billing!AB17</f>
        <v>0</v>
      </c>
    </row>
    <row r="15" spans="1:3" ht="21" x14ac:dyDescent="0.35">
      <c r="A15" s="125" t="str">
        <f>Billing!Q18</f>
        <v>Amjad 7up</v>
      </c>
      <c r="B15" s="128">
        <f>Billing!AA18</f>
        <v>480000</v>
      </c>
      <c r="C15" s="127">
        <f>Billing!AB18</f>
        <v>3851.4996342355735</v>
      </c>
    </row>
    <row r="16" spans="1:3" ht="21" x14ac:dyDescent="0.35">
      <c r="A16" s="125" t="str">
        <f>Billing!Q19</f>
        <v>Hazrat Khan</v>
      </c>
      <c r="B16" s="128">
        <f>Billing!AA19</f>
        <v>95000</v>
      </c>
      <c r="C16" s="127">
        <f>Billing!AB19</f>
        <v>-5844.9158741770225</v>
      </c>
    </row>
    <row r="17" spans="1:3" ht="21" x14ac:dyDescent="0.35">
      <c r="A17" s="125" t="str">
        <f>Billing!Q20</f>
        <v>Haseeb Shamsi</v>
      </c>
      <c r="B17" s="128">
        <f>Billing!AA20</f>
        <v>474200</v>
      </c>
      <c r="C17" s="126">
        <f>Billing!AB20</f>
        <v>92506.291148500517</v>
      </c>
    </row>
    <row r="18" spans="1:3" ht="21" x14ac:dyDescent="0.35">
      <c r="A18" s="125" t="str">
        <f>Billing!Q21</f>
        <v>Faizan</v>
      </c>
      <c r="B18" s="128">
        <f>Billing!AA21</f>
        <v>2915571</v>
      </c>
      <c r="C18" s="127">
        <f>Billing!AB21</f>
        <v>-268441.3365032915</v>
      </c>
    </row>
    <row r="19" spans="1:3" ht="21" x14ac:dyDescent="0.35">
      <c r="A19" s="125" t="str">
        <f>Billing!Q22</f>
        <v>Shafique Ansari</v>
      </c>
      <c r="B19" s="128">
        <f>Billing!AA22</f>
        <v>835660</v>
      </c>
      <c r="C19" s="127">
        <f>Billing!AB22</f>
        <v>356.82516459410544</v>
      </c>
    </row>
    <row r="20" spans="1:3" ht="21" x14ac:dyDescent="0.35">
      <c r="A20" s="125" t="str">
        <f>Billing!Q23</f>
        <v>Amjad sohail</v>
      </c>
      <c r="B20" s="128">
        <f>Billing!AA23</f>
        <v>800000</v>
      </c>
      <c r="C20" s="126">
        <f>Billing!AB23</f>
        <v>322257.6810534019</v>
      </c>
    </row>
    <row r="21" spans="1:3" ht="18.75" x14ac:dyDescent="0.3">
      <c r="A21" t="str">
        <f>Billing!Q24</f>
        <v>Salman Zaffar</v>
      </c>
      <c r="B21" s="14">
        <f>Billing!AA24</f>
        <v>0</v>
      </c>
      <c r="C21" s="100">
        <f>Billing!AB24</f>
        <v>0</v>
      </c>
    </row>
    <row r="22" spans="1:3" ht="18.75" x14ac:dyDescent="0.3">
      <c r="A22">
        <f>Billing!Q25</f>
        <v>0</v>
      </c>
      <c r="B22" s="14">
        <f>Billing!AA25</f>
        <v>0</v>
      </c>
      <c r="C22" s="100">
        <f>Billing!AB25</f>
        <v>0</v>
      </c>
    </row>
    <row r="23" spans="1:3" ht="18.75" x14ac:dyDescent="0.3">
      <c r="A23">
        <f>Billing!Q26</f>
        <v>0</v>
      </c>
      <c r="B23" s="14">
        <f>Billing!AA26</f>
        <v>0</v>
      </c>
      <c r="C23" s="100">
        <f>Billing!AB26</f>
        <v>0</v>
      </c>
    </row>
    <row r="24" spans="1:3" ht="18.75" x14ac:dyDescent="0.3">
      <c r="A24">
        <f>Billing!Q27</f>
        <v>0</v>
      </c>
      <c r="B24" s="14">
        <f>Billing!AA27</f>
        <v>0</v>
      </c>
      <c r="C24" s="100">
        <f>Billing!AB27</f>
        <v>0</v>
      </c>
    </row>
    <row r="25" spans="1:3" ht="18.75" x14ac:dyDescent="0.3">
      <c r="A25">
        <f>Billing!Q28</f>
        <v>0</v>
      </c>
      <c r="B25" s="14">
        <f>Billing!AA28</f>
        <v>0</v>
      </c>
      <c r="C25" s="100">
        <f>Billing!AB28</f>
        <v>0</v>
      </c>
    </row>
    <row r="26" spans="1:3" ht="18.75" x14ac:dyDescent="0.3">
      <c r="A26">
        <f>Billing!Q29</f>
        <v>0</v>
      </c>
      <c r="B26" s="14">
        <f>Billing!AA29</f>
        <v>0</v>
      </c>
      <c r="C26" s="100">
        <f>Billing!AB29</f>
        <v>0</v>
      </c>
    </row>
    <row r="27" spans="1:3" ht="18.75" x14ac:dyDescent="0.3">
      <c r="A27">
        <f>Billing!Q30</f>
        <v>0</v>
      </c>
      <c r="B27" s="14">
        <f>Billing!AA30</f>
        <v>0</v>
      </c>
      <c r="C27" s="100">
        <f>Billing!AB30</f>
        <v>0</v>
      </c>
    </row>
    <row r="28" spans="1:3" ht="18.75" x14ac:dyDescent="0.3">
      <c r="A28">
        <f>Billing!Q31</f>
        <v>0</v>
      </c>
      <c r="B28" s="14">
        <f>Billing!AA31</f>
        <v>0</v>
      </c>
      <c r="C28" s="100">
        <f>Billing!AB31</f>
        <v>0</v>
      </c>
    </row>
  </sheetData>
  <conditionalFormatting sqref="C2:C28">
    <cfRule type="cellIs" dxfId="11" priority="1" operator="lessThan">
      <formula>20000</formula>
    </cfRule>
  </conditionalFormatting>
  <conditionalFormatting sqref="C2:C29">
    <cfRule type="cellIs" dxfId="10"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2" sqref="B2"/>
    </sheetView>
  </sheetViews>
  <sheetFormatPr defaultRowHeight="15" x14ac:dyDescent="0.25"/>
  <cols>
    <col min="1" max="1" width="13.42578125" customWidth="1"/>
    <col min="2" max="2" width="15.7109375" customWidth="1"/>
  </cols>
  <sheetData>
    <row r="1" spans="1:2" x14ac:dyDescent="0.25">
      <c r="A1" t="s">
        <v>172</v>
      </c>
      <c r="B1" t="s">
        <v>69</v>
      </c>
    </row>
    <row r="2" spans="1:2" x14ac:dyDescent="0.25">
      <c r="A2" t="str">
        <f>Billing!Q5</f>
        <v>BSC</v>
      </c>
      <c r="B2" s="10">
        <f>_xlfn.XLOOKUP($A2,[1]Billing!$O$5:$O$29,[1]Billing!$W$5:$W$29)</f>
        <v>12854653</v>
      </c>
    </row>
    <row r="3" spans="1:2" x14ac:dyDescent="0.25">
      <c r="A3" t="str">
        <f>Billing!Q6</f>
        <v>Ejaz Sahab</v>
      </c>
      <c r="B3" s="10">
        <f>_xlfn.XLOOKUP($A3,[1]Billing!$O$5:$O$29,[1]Billing!$W$5:$W$29)</f>
        <v>859904</v>
      </c>
    </row>
    <row r="4" spans="1:2" x14ac:dyDescent="0.25">
      <c r="A4" t="str">
        <f>Billing!Q7</f>
        <v>Arshad</v>
      </c>
      <c r="B4" s="10">
        <f>_xlfn.XLOOKUP($A4,[1]Billing!$O$5:$O$29,[1]Billing!$W$5:$W$29)</f>
        <v>2306701</v>
      </c>
    </row>
    <row r="5" spans="1:2" x14ac:dyDescent="0.25">
      <c r="A5" t="str">
        <f>Billing!Q8</f>
        <v>Shehzad Kamoki</v>
      </c>
      <c r="B5" s="10">
        <f>_xlfn.XLOOKUP($A5,[1]Billing!$O$5:$O$29,[1]Billing!$W$5:$W$29)</f>
        <v>1268740</v>
      </c>
    </row>
    <row r="6" spans="1:2" x14ac:dyDescent="0.25">
      <c r="A6" t="str">
        <f>Billing!Q9</f>
        <v>Sufi Nawaz Sahab</v>
      </c>
      <c r="B6" s="10">
        <f>_xlfn.XLOOKUP($A6,[1]Billing!$O$5:$O$29,[1]Billing!$W$5:$W$29)</f>
        <v>8629100</v>
      </c>
    </row>
    <row r="7" spans="1:2" x14ac:dyDescent="0.25">
      <c r="A7" t="str">
        <f>Billing!Q10</f>
        <v>Sajad Khan</v>
      </c>
      <c r="B7" s="10">
        <f>_xlfn.XLOOKUP($A7,[1]Billing!$O$5:$O$29,[1]Billing!$W$5:$W$29)</f>
        <v>3751266</v>
      </c>
    </row>
    <row r="8" spans="1:2" x14ac:dyDescent="0.25">
      <c r="A8" t="str">
        <f>Billing!Q11</f>
        <v>Raaz Fabrics</v>
      </c>
      <c r="B8" s="10">
        <f>_xlfn.XLOOKUP($A8,[1]Billing!$O$5:$O$29,[1]Billing!$W$5:$W$29)</f>
        <v>600000</v>
      </c>
    </row>
    <row r="9" spans="1:2" x14ac:dyDescent="0.25">
      <c r="A9" t="str">
        <f>Billing!Q12</f>
        <v>Azam</v>
      </c>
      <c r="B9" s="10">
        <f>_xlfn.XLOOKUP($A9,[1]Billing!$O$5:$O$29,[1]Billing!$W$5:$W$29)</f>
        <v>1617620</v>
      </c>
    </row>
    <row r="10" spans="1:2" x14ac:dyDescent="0.25">
      <c r="A10" t="str">
        <f>Billing!Q13</f>
        <v>Ubaidullah</v>
      </c>
      <c r="B10" s="10">
        <f>_xlfn.XLOOKUP($A10,[1]Billing!$O$5:$O$29,[1]Billing!$W$5:$W$29)</f>
        <v>451150</v>
      </c>
    </row>
    <row r="11" spans="1:2" x14ac:dyDescent="0.25">
      <c r="A11" t="str">
        <f>Billing!Q14</f>
        <v>Ashraf Zia</v>
      </c>
      <c r="B11" s="10">
        <f>_xlfn.XLOOKUP($A11,[1]Billing!$O$5:$O$29,[1]Billing!$W$5:$W$29)</f>
        <v>0</v>
      </c>
    </row>
    <row r="12" spans="1:2" x14ac:dyDescent="0.25">
      <c r="A12" t="str">
        <f>Billing!Q15</f>
        <v>Hafiz Qureshi</v>
      </c>
      <c r="B12" s="10">
        <f>_xlfn.XLOOKUP($A12,[1]Billing!$O$5:$O$29,[1]Billing!$W$5:$W$29)</f>
        <v>400000</v>
      </c>
    </row>
    <row r="13" spans="1:2" x14ac:dyDescent="0.25">
      <c r="A13" t="str">
        <f>Billing!Q16</f>
        <v>Badshah Fabrics</v>
      </c>
      <c r="B13" s="10">
        <f>_xlfn.XLOOKUP($A13,[1]Billing!$O$5:$O$29,[1]Billing!$W$5:$W$29)</f>
        <v>1370000</v>
      </c>
    </row>
    <row r="14" spans="1:2" x14ac:dyDescent="0.25">
      <c r="A14" t="str">
        <f>Billing!Q17</f>
        <v>Reject</v>
      </c>
      <c r="B14" s="10">
        <f>_xlfn.XLOOKUP($A14,[1]Billing!$O$5:$O$29,[1]Billing!$W$5:$W$29)</f>
        <v>0</v>
      </c>
    </row>
    <row r="15" spans="1:2" x14ac:dyDescent="0.25">
      <c r="A15" t="str">
        <f>Billing!Q18</f>
        <v>Amjad 7up</v>
      </c>
      <c r="B15" s="10">
        <f>_xlfn.XLOOKUP($A15,[1]Billing!$O$5:$O$29,[1]Billing!$W$5:$W$29)</f>
        <v>0</v>
      </c>
    </row>
    <row r="16" spans="1:2" x14ac:dyDescent="0.25">
      <c r="A16" t="str">
        <f>Billing!Q19</f>
        <v>Hazrat Khan</v>
      </c>
      <c r="B16" s="10">
        <f>_xlfn.XLOOKUP($A16,[1]Billing!$O$5:$O$29,[1]Billing!$W$5:$W$29)</f>
        <v>0</v>
      </c>
    </row>
    <row r="17" spans="1:2" x14ac:dyDescent="0.25">
      <c r="A17" t="str">
        <f>Billing!Q20</f>
        <v>Haseeb Shamsi</v>
      </c>
      <c r="B17" s="10">
        <f>_xlfn.XLOOKUP($A17,[1]Billing!$O$5:$O$29,[1]Billing!$W$5:$W$29)</f>
        <v>0</v>
      </c>
    </row>
    <row r="18" spans="1:2" x14ac:dyDescent="0.25">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2025-11-18T22:28:11Z</dcterms:modified>
  <cp:category/>
  <cp:contentStatus/>
</cp:coreProperties>
</file>