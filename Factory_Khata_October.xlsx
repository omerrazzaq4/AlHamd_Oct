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840" documentId="8_{4BA2F63F-AD4E-4F04-A724-5F712AF3C5FD}" xr6:coauthVersionLast="47" xr6:coauthVersionMax="47" xr10:uidLastSave="{C2BEEBCE-09D8-4915-8933-6AB9FCD657A7}"/>
  <bookViews>
    <workbookView xWindow="-108" yWindow="-108" windowWidth="23256" windowHeight="12456"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6" l="1"/>
  <c r="I39" i="6" s="1"/>
  <c r="G39" i="6"/>
  <c r="I93" i="1"/>
  <c r="J93" i="1" a="1"/>
  <c r="J93" i="1" s="1"/>
  <c r="I94" i="1"/>
  <c r="J94" i="1" a="1"/>
  <c r="J94" i="1" s="1"/>
  <c r="I95" i="1"/>
  <c r="J95" i="1" a="1"/>
  <c r="J95" i="1" s="1"/>
  <c r="I96" i="1"/>
  <c r="J96" i="1" s="1" a="1"/>
  <c r="J96" i="1" s="1"/>
  <c r="I97" i="1"/>
  <c r="J97" i="1" a="1"/>
  <c r="J97" i="1" s="1"/>
  <c r="I98" i="1"/>
  <c r="J98" i="1" a="1"/>
  <c r="J98" i="1" s="1"/>
  <c r="I99" i="1"/>
  <c r="J99" i="1" a="1"/>
  <c r="J99" i="1" s="1"/>
  <c r="I100" i="1"/>
  <c r="J100" i="1" s="1" a="1"/>
  <c r="J100" i="1" s="1"/>
  <c r="I101" i="1"/>
  <c r="J101" i="1" a="1"/>
  <c r="J101" i="1" s="1"/>
  <c r="H103" i="1"/>
  <c r="H102" i="1"/>
  <c r="C257" i="17"/>
  <c r="H38" i="6"/>
  <c r="I38" i="6" s="1"/>
  <c r="G38" i="6"/>
  <c r="I83" i="1"/>
  <c r="J83" i="1" a="1"/>
  <c r="J83" i="1" s="1"/>
  <c r="I84" i="1"/>
  <c r="J84" i="1" a="1"/>
  <c r="J84" i="1" s="1"/>
  <c r="I85" i="1"/>
  <c r="J85" i="1" a="1"/>
  <c r="J85" i="1" s="1"/>
  <c r="I86" i="1"/>
  <c r="J86" i="1" a="1"/>
  <c r="J86" i="1" s="1"/>
  <c r="I87" i="1"/>
  <c r="J87" i="1" s="1" a="1"/>
  <c r="J87" i="1" s="1"/>
  <c r="I88" i="1"/>
  <c r="J88" i="1" a="1"/>
  <c r="J88" i="1" s="1"/>
  <c r="I89" i="1"/>
  <c r="J89" i="1" s="1" a="1"/>
  <c r="J89" i="1" s="1"/>
  <c r="I90" i="1"/>
  <c r="J90" i="1" s="1" a="1"/>
  <c r="J90" i="1" s="1"/>
  <c r="I91" i="1"/>
  <c r="J91" i="1" s="1" a="1"/>
  <c r="J91" i="1" s="1"/>
  <c r="I92" i="1"/>
  <c r="J92" i="1" a="1"/>
  <c r="J92" i="1" s="1"/>
  <c r="H36" i="6"/>
  <c r="I36" i="6" s="1"/>
  <c r="H37" i="6"/>
  <c r="I37" i="6" s="1"/>
  <c r="G36" i="6"/>
  <c r="G37" i="6"/>
  <c r="B49" i="9" a="1"/>
  <c r="H63" i="9" s="1" a="1"/>
  <c r="H63" i="9" s="1"/>
  <c r="I34" i="1"/>
  <c r="J34" i="1" s="1" a="1"/>
  <c r="J34" i="1" s="1"/>
  <c r="I35" i="1"/>
  <c r="J35" i="1" s="1" a="1"/>
  <c r="J35" i="1" s="1"/>
  <c r="I36" i="1"/>
  <c r="J36" i="1" s="1" a="1"/>
  <c r="J36" i="1" s="1"/>
  <c r="I37" i="1"/>
  <c r="J37" i="1" s="1" a="1"/>
  <c r="J37" i="1" s="1"/>
  <c r="I39" i="1"/>
  <c r="J39" i="1" s="1" a="1"/>
  <c r="J39" i="1" s="1"/>
  <c r="I40" i="1"/>
  <c r="J40" i="1" s="1" a="1"/>
  <c r="J40" i="1" s="1"/>
  <c r="I42" i="1"/>
  <c r="J42" i="1" s="1" a="1"/>
  <c r="J42" i="1" s="1"/>
  <c r="I44" i="1"/>
  <c r="J44" i="1" a="1"/>
  <c r="J44" i="1" s="1"/>
  <c r="F10" i="15"/>
  <c r="G10" i="15"/>
  <c r="H10" i="15" s="1"/>
  <c r="G9" i="7"/>
  <c r="H9" i="7" s="1"/>
  <c r="G8" i="7"/>
  <c r="H8" i="7" s="1"/>
  <c r="H35" i="6"/>
  <c r="I35" i="6" s="1"/>
  <c r="G35" i="6"/>
  <c r="H34" i="6"/>
  <c r="I34" i="6" s="1"/>
  <c r="G34" i="6"/>
  <c r="I78" i="1"/>
  <c r="J78" i="1" s="1" a="1"/>
  <c r="J78" i="1" s="1"/>
  <c r="I79" i="1"/>
  <c r="J79" i="1" a="1"/>
  <c r="J79" i="1" s="1"/>
  <c r="I80" i="1"/>
  <c r="J80" i="1" s="1" a="1"/>
  <c r="J80" i="1" s="1"/>
  <c r="I81" i="1"/>
  <c r="J81" i="1" a="1"/>
  <c r="J81" i="1" s="1"/>
  <c r="I82" i="1"/>
  <c r="J82" i="1" s="1" a="1"/>
  <c r="J82" i="1" s="1"/>
  <c r="C206" i="17"/>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a="1"/>
  <c r="J47" i="1" s="1"/>
  <c r="I48" i="1"/>
  <c r="J48" i="1" s="1" a="1"/>
  <c r="J48" i="1" s="1"/>
  <c r="I76" i="1"/>
  <c r="J76" i="1" a="1"/>
  <c r="J76" i="1" s="1"/>
  <c r="I77" i="1"/>
  <c r="J77" i="1" s="1" a="1"/>
  <c r="J77" i="1" s="1"/>
  <c r="I50" i="1"/>
  <c r="J50" i="1" s="1" a="1"/>
  <c r="J50" i="1" s="1"/>
  <c r="I65" i="1"/>
  <c r="J65" i="1" s="1" a="1"/>
  <c r="J65" i="1" s="1"/>
  <c r="I68" i="1"/>
  <c r="J68" i="1" a="1"/>
  <c r="J68" i="1" s="1"/>
  <c r="I70" i="1"/>
  <c r="J70" i="1" s="1" a="1"/>
  <c r="J70" i="1" s="1"/>
  <c r="I71" i="1"/>
  <c r="J71" i="1" a="1"/>
  <c r="J71" i="1" s="1"/>
  <c r="I74" i="1"/>
  <c r="J74" i="1" s="1" a="1"/>
  <c r="J74" i="1" s="1"/>
  <c r="I64" i="1"/>
  <c r="J64" i="1" a="1"/>
  <c r="J64" i="1" s="1"/>
  <c r="I69" i="1"/>
  <c r="J69" i="1" s="1" a="1"/>
  <c r="J69" i="1" s="1"/>
  <c r="I38" i="1"/>
  <c r="J38" i="1" s="1" a="1"/>
  <c r="J38" i="1" s="1"/>
  <c r="I67" i="1"/>
  <c r="J67" i="1" s="1" a="1"/>
  <c r="J67" i="1" s="1"/>
  <c r="I73" i="1"/>
  <c r="J73" i="1" a="1"/>
  <c r="J73" i="1" s="1"/>
  <c r="I75" i="1"/>
  <c r="J75" i="1" s="1" a="1"/>
  <c r="J75" i="1" s="1"/>
  <c r="I43" i="1"/>
  <c r="J43" i="1" a="1"/>
  <c r="J43" i="1" s="1"/>
  <c r="I49" i="1"/>
  <c r="J49" i="1" s="1" a="1"/>
  <c r="J49" i="1" s="1"/>
  <c r="I51" i="1"/>
  <c r="J51" i="1" a="1"/>
  <c r="J51" i="1" s="1"/>
  <c r="I52" i="1"/>
  <c r="J52" i="1" s="1" a="1"/>
  <c r="J52" i="1" s="1"/>
  <c r="I53" i="1"/>
  <c r="J53" i="1" s="1" a="1"/>
  <c r="J53" i="1" s="1"/>
  <c r="I54" i="1"/>
  <c r="J54" i="1" s="1" a="1"/>
  <c r="J54" i="1" s="1"/>
  <c r="I55" i="1"/>
  <c r="J55" i="1" a="1"/>
  <c r="J55" i="1" s="1"/>
  <c r="I56" i="1"/>
  <c r="J56" i="1" s="1" a="1"/>
  <c r="J56" i="1" s="1"/>
  <c r="I57" i="1"/>
  <c r="J57" i="1" a="1"/>
  <c r="J57" i="1" s="1"/>
  <c r="I58" i="1"/>
  <c r="J58" i="1" s="1" a="1"/>
  <c r="J58" i="1" s="1"/>
  <c r="I59" i="1"/>
  <c r="J59" i="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11" i="15"/>
  <c r="F6" i="15"/>
  <c r="G8" i="15"/>
  <c r="H8" i="15" s="1"/>
  <c r="G9" i="15"/>
  <c r="H9" i="15" s="1"/>
  <c r="B84" i="9" a="1"/>
  <c r="B84" i="9" s="1"/>
  <c r="J27" i="15"/>
  <c r="J26" i="15"/>
  <c r="J25" i="15"/>
  <c r="J30" i="15"/>
  <c r="C6" i="8"/>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0"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G45" i="2" s="1"/>
  <c r="H98" i="1" s="1"/>
  <c r="F45" i="2"/>
  <c r="H45" i="2"/>
  <c r="I45" i="2" s="1"/>
  <c r="D45" i="2" s="1"/>
  <c r="E46" i="2"/>
  <c r="F46" i="2"/>
  <c r="H46" i="2" s="1"/>
  <c r="I46" i="2" s="1"/>
  <c r="D46" i="2" s="1"/>
  <c r="E47" i="2"/>
  <c r="F47" i="2"/>
  <c r="G47" i="2" s="1"/>
  <c r="H100" i="1" s="1"/>
  <c r="H47" i="2"/>
  <c r="I47" i="2" s="1"/>
  <c r="D47" i="2" s="1"/>
  <c r="E48" i="2"/>
  <c r="F48" i="2"/>
  <c r="H48" i="2" s="1"/>
  <c r="I48" i="2" s="1"/>
  <c r="D48" i="2" s="1"/>
  <c r="E49" i="2"/>
  <c r="F49" i="2"/>
  <c r="H49" i="2" s="1"/>
  <c r="I49" i="2" s="1"/>
  <c r="D49" i="2" s="1"/>
  <c r="E50" i="2"/>
  <c r="F50" i="2"/>
  <c r="H50" i="2"/>
  <c r="I50" i="2"/>
  <c r="D50" i="2"/>
  <c r="E51" i="2"/>
  <c r="F51" i="2"/>
  <c r="H51" i="2"/>
  <c r="I51" i="2"/>
  <c r="D51" i="2"/>
  <c r="E52" i="2"/>
  <c r="F52" i="2"/>
  <c r="H52" i="2"/>
  <c r="I52" i="2"/>
  <c r="D52" i="2"/>
  <c r="E53" i="2"/>
  <c r="F53" i="2"/>
  <c r="H53" i="2"/>
  <c r="I53" i="2"/>
  <c r="D53" i="2"/>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E20" i="2"/>
  <c r="F6" i="2"/>
  <c r="H6" i="2" s="1"/>
  <c r="I6" i="2" s="1"/>
  <c r="D6" i="2" s="1"/>
  <c r="E6" i="2"/>
  <c r="F5" i="2"/>
  <c r="H5" i="2" s="1"/>
  <c r="I5" i="2" s="1"/>
  <c r="D5" i="2" s="1"/>
  <c r="E5" i="2"/>
  <c r="E34" i="2"/>
  <c r="F34" i="2"/>
  <c r="G34" i="2" s="1"/>
  <c r="E35" i="2"/>
  <c r="F35" i="2"/>
  <c r="H35" i="2" s="1"/>
  <c r="I35" i="2" s="1"/>
  <c r="D35" i="2" s="1"/>
  <c r="E36" i="2"/>
  <c r="F36" i="2"/>
  <c r="F22" i="2"/>
  <c r="H22" i="2" s="1"/>
  <c r="I22" i="2" s="1"/>
  <c r="D22" i="2" s="1"/>
  <c r="E22" i="2"/>
  <c r="F7" i="2"/>
  <c r="H7" i="2"/>
  <c r="I7" i="2" s="1"/>
  <c r="D7" i="2" s="1"/>
  <c r="E7" i="2"/>
  <c r="G7" i="2" s="1"/>
  <c r="H38" i="1" s="1"/>
  <c r="E37" i="2"/>
  <c r="F37" i="2"/>
  <c r="G37" i="2" s="1"/>
  <c r="E39" i="2"/>
  <c r="F39" i="2"/>
  <c r="H39" i="2" s="1"/>
  <c r="I39" i="2" s="1"/>
  <c r="D39" i="2" s="1"/>
  <c r="G39" i="2"/>
  <c r="H86" i="1" s="1"/>
  <c r="E40" i="2"/>
  <c r="F40" i="2"/>
  <c r="G40" i="2" s="1"/>
  <c r="H40" i="2"/>
  <c r="I40" i="2" s="1"/>
  <c r="D40" i="2" s="1"/>
  <c r="E41" i="2"/>
  <c r="F41" i="2"/>
  <c r="H41" i="2"/>
  <c r="I41" i="2"/>
  <c r="D41" i="2" s="1"/>
  <c r="E42" i="2"/>
  <c r="F42" i="2"/>
  <c r="E43" i="2"/>
  <c r="F43" i="2"/>
  <c r="H43" i="2" s="1"/>
  <c r="I43" i="2" s="1"/>
  <c r="D43" i="2" s="1"/>
  <c r="E44" i="2"/>
  <c r="F44" i="2"/>
  <c r="G44" i="2" s="1"/>
  <c r="H97" i="1" s="1"/>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E21" i="2"/>
  <c r="F23" i="2"/>
  <c r="G23" i="2" s="1"/>
  <c r="H60" i="1" s="1"/>
  <c r="E23" i="2"/>
  <c r="F15" i="2"/>
  <c r="G15" i="2" s="1"/>
  <c r="H49" i="1" s="1"/>
  <c r="E15" i="2"/>
  <c r="F24" i="2"/>
  <c r="G24" i="2" s="1"/>
  <c r="H61" i="1" s="1"/>
  <c r="F25" i="2"/>
  <c r="H25" i="2"/>
  <c r="I25" i="2"/>
  <c r="D25" i="2" s="1"/>
  <c r="F26" i="2"/>
  <c r="H26" i="2"/>
  <c r="I26" i="2" s="1"/>
  <c r="D26" i="2" s="1"/>
  <c r="F27" i="2"/>
  <c r="H27" i="2" s="1"/>
  <c r="I27" i="2" s="1"/>
  <c r="D27" i="2" s="1"/>
  <c r="F28" i="2"/>
  <c r="H28" i="2" s="1"/>
  <c r="I28" i="2" s="1"/>
  <c r="D28" i="2" s="1"/>
  <c r="E28" i="2"/>
  <c r="F29" i="2"/>
  <c r="H29" i="2" s="1"/>
  <c r="I29" i="2" s="1"/>
  <c r="D29" i="2" s="1"/>
  <c r="E29" i="2"/>
  <c r="F16" i="2"/>
  <c r="H16" i="2" s="1"/>
  <c r="I16" i="2" s="1"/>
  <c r="D16" i="2" s="1"/>
  <c r="E16" i="2"/>
  <c r="F30" i="2"/>
  <c r="H30" i="2"/>
  <c r="I30" i="2" s="1"/>
  <c r="D30" i="2" s="1"/>
  <c r="F31" i="2"/>
  <c r="G31" i="2" s="1"/>
  <c r="H75" i="1" s="1"/>
  <c r="E31" i="2"/>
  <c r="F32" i="2"/>
  <c r="H32" i="2" s="1"/>
  <c r="I32" i="2" s="1"/>
  <c r="D32" i="2" s="1"/>
  <c r="F14" i="2"/>
  <c r="H14" i="2" s="1"/>
  <c r="I14" i="2" s="1"/>
  <c r="D14" i="2" s="1"/>
  <c r="E14" i="2"/>
  <c r="E24" i="2"/>
  <c r="E25" i="2"/>
  <c r="E26" i="2"/>
  <c r="E27" i="2"/>
  <c r="E30" i="2"/>
  <c r="E32" i="2"/>
  <c r="F19" i="2"/>
  <c r="H19" i="2" s="1"/>
  <c r="I19" i="2" s="1"/>
  <c r="D19" i="2" s="1"/>
  <c r="E19" i="2"/>
  <c r="F13" i="2"/>
  <c r="H13" i="2" s="1"/>
  <c r="I13" i="2" s="1"/>
  <c r="D13" i="2" s="1"/>
  <c r="E13" i="2"/>
  <c r="G13" i="2"/>
  <c r="H47" i="1" s="1"/>
  <c r="N4" i="17"/>
  <c r="F12" i="2"/>
  <c r="H12" i="2"/>
  <c r="I12" i="2" s="1"/>
  <c r="D12" i="2" s="1"/>
  <c r="E12" i="2"/>
  <c r="F11" i="2"/>
  <c r="H11" i="2"/>
  <c r="I11" i="2" s="1"/>
  <c r="E11" i="2"/>
  <c r="G11" i="2" s="1"/>
  <c r="H43" i="1" s="1"/>
  <c r="E17" i="2"/>
  <c r="G17" i="2" s="1"/>
  <c r="H51" i="1" s="1"/>
  <c r="F17" i="2"/>
  <c r="F9" i="2"/>
  <c r="G9" i="2" s="1"/>
  <c r="H41" i="1" s="1"/>
  <c r="E9" i="2"/>
  <c r="E18" i="2"/>
  <c r="G18" i="2" s="1"/>
  <c r="H55" i="1" s="1"/>
  <c r="E8" i="2"/>
  <c r="F8" i="2"/>
  <c r="H8" i="2" s="1"/>
  <c r="I8" i="2" s="1"/>
  <c r="D8" i="2" s="1"/>
  <c r="E10" i="2"/>
  <c r="G10" i="2" s="1"/>
  <c r="E4" i="2"/>
  <c r="F18" i="2"/>
  <c r="H18" i="2"/>
  <c r="I18" i="2" s="1"/>
  <c r="D18" i="2" s="1"/>
  <c r="C8" i="8"/>
  <c r="F10" i="2"/>
  <c r="H10" i="2"/>
  <c r="I10" i="2" s="1"/>
  <c r="D10" i="2" s="1"/>
  <c r="F4" i="2"/>
  <c r="H4" i="2"/>
  <c r="I4" i="2"/>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50" i="2"/>
  <c r="G67" i="2"/>
  <c r="G42" i="2"/>
  <c r="H95" i="1" s="1"/>
  <c r="G55" i="2"/>
  <c r="H72" i="2"/>
  <c r="I72" i="2"/>
  <c r="D72" i="2"/>
  <c r="G58" i="2"/>
  <c r="G86" i="2"/>
  <c r="G70" i="2"/>
  <c r="G56" i="2"/>
  <c r="G65" i="2"/>
  <c r="G77" i="2"/>
  <c r="G75" i="2"/>
  <c r="G64" i="2"/>
  <c r="G74" i="2"/>
  <c r="G68" i="2"/>
  <c r="G82" i="2"/>
  <c r="G78" i="2"/>
  <c r="H85" i="2"/>
  <c r="I85" i="2"/>
  <c r="D85" i="2"/>
  <c r="G79" i="2"/>
  <c r="G52" i="2"/>
  <c r="H56" i="2"/>
  <c r="I56" i="2"/>
  <c r="D56" i="2"/>
  <c r="G53" i="2"/>
  <c r="H82" i="2"/>
  <c r="I82" i="2"/>
  <c r="D82" i="2"/>
  <c r="G59" i="2"/>
  <c r="G63" i="2"/>
  <c r="H74" i="2"/>
  <c r="I74" i="2"/>
  <c r="D74" i="2"/>
  <c r="H81" i="2"/>
  <c r="I81" i="2"/>
  <c r="D81" i="2"/>
  <c r="H76" i="2"/>
  <c r="I76" i="2"/>
  <c r="D76" i="2"/>
  <c r="H28" i="1"/>
  <c r="G73" i="2"/>
  <c r="G69" i="2"/>
  <c r="G66" i="2"/>
  <c r="G62" i="2"/>
  <c r="G57" i="2"/>
  <c r="H65" i="2"/>
  <c r="I65" i="2"/>
  <c r="D65" i="2"/>
  <c r="G51" i="2"/>
  <c r="G54" i="2"/>
  <c r="G48" i="2"/>
  <c r="H101" i="1" s="1"/>
  <c r="H42" i="2"/>
  <c r="I42" i="2" s="1"/>
  <c r="D42" i="2" s="1"/>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s="1"/>
  <c r="D17" i="2" s="1"/>
  <c r="T25" i="9" a="1"/>
  <c r="T25" i="9" s="1"/>
  <c r="AA25" i="9"/>
  <c r="B22" i="20" s="1"/>
  <c r="A22" i="20"/>
  <c r="L69" i="9"/>
  <c r="S25" i="9" a="1"/>
  <c r="S25" i="9" s="1"/>
  <c r="R25" i="9" a="1"/>
  <c r="R25" i="9" s="1"/>
  <c r="U25" i="9" a="1"/>
  <c r="U25" i="9" s="1"/>
  <c r="W25" i="9" a="1"/>
  <c r="W25" i="9" s="1"/>
  <c r="G35" i="2"/>
  <c r="H81" i="1" s="1"/>
  <c r="I27" i="1"/>
  <c r="J27" i="1" a="1"/>
  <c r="J27" i="1" s="1"/>
  <c r="I11" i="1"/>
  <c r="J11" i="1" s="1" a="1"/>
  <c r="J11" i="1" s="1"/>
  <c r="I12" i="1"/>
  <c r="J12" i="1" a="1"/>
  <c r="J12" i="1" s="1"/>
  <c r="I23" i="1"/>
  <c r="J23" i="1" s="1" a="1"/>
  <c r="J23" i="1" s="1"/>
  <c r="I4" i="1"/>
  <c r="J4" i="1" s="1" a="1"/>
  <c r="J4" i="1" s="1"/>
  <c r="I21" i="1"/>
  <c r="J21" i="1" s="1" a="1"/>
  <c r="J21" i="1" s="1"/>
  <c r="I20" i="1"/>
  <c r="J20" i="1" a="1"/>
  <c r="J20" i="1" s="1"/>
  <c r="I22" i="1"/>
  <c r="J22" i="1" s="1" a="1"/>
  <c r="J22" i="1" s="1"/>
  <c r="I2" i="1"/>
  <c r="J2" i="1" s="1" a="1"/>
  <c r="J2" i="1" s="1"/>
  <c r="I7" i="1"/>
  <c r="J7" i="1" s="1" a="1"/>
  <c r="J7" i="1" s="1"/>
  <c r="I10" i="1"/>
  <c r="J10" i="1" a="1"/>
  <c r="J10" i="1" s="1"/>
  <c r="I3" i="1"/>
  <c r="J3" i="1" s="1" a="1"/>
  <c r="J3" i="1" s="1"/>
  <c r="I19" i="1"/>
  <c r="J19" i="1" s="1" a="1"/>
  <c r="J19" i="1" s="1"/>
  <c r="I24" i="1"/>
  <c r="J24" i="1" s="1" a="1"/>
  <c r="J24" i="1" s="1"/>
  <c r="I28" i="1"/>
  <c r="J28" i="1" s="1" a="1"/>
  <c r="J28" i="1" s="1"/>
  <c r="I8" i="1"/>
  <c r="J8" i="1" s="1" a="1"/>
  <c r="J8" i="1" s="1"/>
  <c r="I5" i="1"/>
  <c r="J5" i="1" a="1"/>
  <c r="J5" i="1" s="1"/>
  <c r="I14" i="1"/>
  <c r="J14" i="1" s="1" a="1"/>
  <c r="J14" i="1" s="1"/>
  <c r="I32" i="1"/>
  <c r="J32" i="1" s="1" a="1"/>
  <c r="J32" i="1" s="1"/>
  <c r="I13" i="1"/>
  <c r="J13" i="1" s="1" a="1"/>
  <c r="J13" i="1" s="1"/>
  <c r="I17" i="1"/>
  <c r="J17" i="1" a="1"/>
  <c r="J17" i="1" s="1"/>
  <c r="I6" i="1"/>
  <c r="I16" i="1"/>
  <c r="J16" i="1" s="1" a="1"/>
  <c r="J16" i="1" s="1"/>
  <c r="I26" i="1"/>
  <c r="J26" i="1" s="1" a="1"/>
  <c r="J26" i="1" s="1"/>
  <c r="I31" i="1"/>
  <c r="J31" i="1" s="1" a="1"/>
  <c r="J31" i="1" s="1"/>
  <c r="I30" i="1"/>
  <c r="J30" i="1" s="1" a="1"/>
  <c r="J30" i="1" s="1"/>
  <c r="I29" i="1"/>
  <c r="J29" i="1" s="1" a="1"/>
  <c r="J29" i="1" s="1"/>
  <c r="I25" i="1"/>
  <c r="J25" i="1" s="1" a="1"/>
  <c r="J25" i="1" s="1"/>
  <c r="I9" i="1"/>
  <c r="J9" i="1" a="1"/>
  <c r="J9" i="1" s="1"/>
  <c r="I15" i="1"/>
  <c r="J15" i="1" s="1" a="1"/>
  <c r="J15" i="1" s="1"/>
  <c r="I18" i="1"/>
  <c r="J18" i="1" s="1" a="1"/>
  <c r="J18" i="1" s="1"/>
  <c r="I33" i="1"/>
  <c r="J33" i="1" s="1" a="1"/>
  <c r="J33" i="1" s="1"/>
  <c r="D2" i="17"/>
  <c r="H31" i="2"/>
  <c r="I31" i="2"/>
  <c r="D31" i="2" s="1"/>
  <c r="G30" i="2"/>
  <c r="H72" i="1" s="1"/>
  <c r="G38" i="2"/>
  <c r="H85" i="1" s="1"/>
  <c r="G26" i="2"/>
  <c r="H89" i="1" s="1"/>
  <c r="G4" i="2"/>
  <c r="G8" i="2"/>
  <c r="H40" i="1" s="1"/>
  <c r="A19" i="20"/>
  <c r="C278" i="17"/>
  <c r="K4" i="17" s="1"/>
  <c r="B2" i="2"/>
  <c r="C2" i="2"/>
  <c r="C12" i="10" l="1"/>
  <c r="N6" i="17"/>
  <c r="D278" i="17"/>
  <c r="K6" i="6"/>
  <c r="C4" i="8" s="1"/>
  <c r="G40" i="6"/>
  <c r="Z26" i="9"/>
  <c r="H92" i="1"/>
  <c r="H93" i="1"/>
  <c r="H90" i="1"/>
  <c r="H84" i="1"/>
  <c r="H87" i="1"/>
  <c r="H34" i="2"/>
  <c r="I34" i="2" s="1"/>
  <c r="D34" i="2" s="1"/>
  <c r="G49" i="2"/>
  <c r="G29" i="2"/>
  <c r="H70" i="1" s="1"/>
  <c r="H23" i="2"/>
  <c r="I23" i="2" s="1"/>
  <c r="D23" i="2" s="1"/>
  <c r="H44" i="2"/>
  <c r="I44" i="2" s="1"/>
  <c r="D44" i="2" s="1"/>
  <c r="G41" i="2"/>
  <c r="H94" i="1" s="1"/>
  <c r="G36" i="2"/>
  <c r="H83" i="1" s="1"/>
  <c r="G46" i="2"/>
  <c r="H99" i="1" s="1"/>
  <c r="G19" i="2"/>
  <c r="H57" i="1" s="1"/>
  <c r="G32" i="2"/>
  <c r="H76" i="1" s="1"/>
  <c r="H39" i="1"/>
  <c r="H36" i="2"/>
  <c r="I36" i="2" s="1"/>
  <c r="D36" i="2" s="1"/>
  <c r="G43" i="2"/>
  <c r="H96" i="1" s="1"/>
  <c r="G25" i="2"/>
  <c r="G21" i="2"/>
  <c r="H58" i="1" s="1"/>
  <c r="H37" i="2"/>
  <c r="I37" i="2" s="1"/>
  <c r="D37" i="2" s="1"/>
  <c r="G20" i="2"/>
  <c r="H54" i="1" s="1"/>
  <c r="G28" i="2"/>
  <c r="H67" i="1" s="1"/>
  <c r="G33" i="2"/>
  <c r="H78" i="1" s="1"/>
  <c r="G5" i="2"/>
  <c r="G12" i="2"/>
  <c r="G22" i="2"/>
  <c r="H59" i="1" s="1"/>
  <c r="G6" i="2"/>
  <c r="H44" i="1"/>
  <c r="H42" i="1"/>
  <c r="H56" i="1"/>
  <c r="H91" i="1"/>
  <c r="H82" i="1"/>
  <c r="H79" i="1"/>
  <c r="H80" i="1"/>
  <c r="H74" i="1"/>
  <c r="H35" i="1"/>
  <c r="H34" i="1"/>
  <c r="H46" i="1"/>
  <c r="H45" i="1"/>
  <c r="H62" i="1"/>
  <c r="H66" i="1"/>
  <c r="H63" i="1"/>
  <c r="H36" i="1"/>
  <c r="H37" i="1"/>
  <c r="H20" i="2"/>
  <c r="I20" i="2" s="1"/>
  <c r="D20" i="2" s="1"/>
  <c r="H77" i="1"/>
  <c r="G27" i="2"/>
  <c r="H21" i="2"/>
  <c r="I21" i="2" s="1"/>
  <c r="D21" i="2" s="1"/>
  <c r="H15" i="2"/>
  <c r="I15" i="2" s="1"/>
  <c r="D15" i="2" s="1"/>
  <c r="H73" i="1"/>
  <c r="H64" i="1"/>
  <c r="G16" i="2"/>
  <c r="H50" i="1" s="1"/>
  <c r="G14" i="2"/>
  <c r="H48" i="1" s="1"/>
  <c r="H69" i="1"/>
  <c r="H9" i="2"/>
  <c r="I9" i="2" s="1"/>
  <c r="D9" i="2" s="1"/>
  <c r="H24" i="2"/>
  <c r="I24" i="2" s="1"/>
  <c r="D24" i="2" s="1"/>
  <c r="H53" i="1"/>
  <c r="H52" i="1"/>
  <c r="H88" i="1"/>
  <c r="AA22" i="9"/>
  <c r="B19" i="20" s="1"/>
  <c r="A7" i="21"/>
  <c r="B7" i="21" s="1"/>
  <c r="A21" i="20"/>
  <c r="A10" i="21"/>
  <c r="B10" i="21" s="1"/>
  <c r="A8" i="21"/>
  <c r="B8" i="21" s="1"/>
  <c r="A6" i="20"/>
  <c r="A9" i="21"/>
  <c r="B9" i="21" s="1"/>
  <c r="A12" i="21"/>
  <c r="B12" i="21" s="1"/>
  <c r="A3" i="21"/>
  <c r="B3" i="21" s="1"/>
  <c r="A11" i="21"/>
  <c r="B11" i="21" s="1"/>
  <c r="AA21" i="9"/>
  <c r="B18" i="20" s="1"/>
  <c r="A14" i="20"/>
  <c r="AA23" i="9"/>
  <c r="B20" i="20" s="1"/>
  <c r="A15" i="21"/>
  <c r="B15" i="21" s="1"/>
  <c r="A16" i="20"/>
  <c r="A17" i="21"/>
  <c r="B17" i="21" s="1"/>
  <c r="A11" i="20"/>
  <c r="A6" i="21"/>
  <c r="B6" i="21" s="1"/>
  <c r="A13" i="21"/>
  <c r="B13" i="21" s="1"/>
  <c r="A13" i="20"/>
  <c r="A8" i="20"/>
  <c r="A9" i="20"/>
  <c r="A3" i="20"/>
  <c r="A5" i="21"/>
  <c r="B5" i="21" s="1"/>
  <c r="A16" i="21"/>
  <c r="B16" i="21" s="1"/>
  <c r="A12" i="20"/>
  <c r="A4" i="20"/>
  <c r="A14" i="21"/>
  <c r="B14" i="21" s="1"/>
  <c r="A4" i="21"/>
  <c r="B4" i="21" s="1"/>
  <c r="A18" i="20"/>
  <c r="A20" i="20"/>
  <c r="A15" i="20"/>
  <c r="A18" i="21"/>
  <c r="B18" i="21" s="1"/>
  <c r="A5" i="20"/>
  <c r="A7" i="20"/>
  <c r="AA24" i="9"/>
  <c r="B21" i="20" s="1"/>
  <c r="A17" i="20"/>
  <c r="L58" i="9"/>
  <c r="X16" i="9" a="1"/>
  <c r="X16" i="9" s="1"/>
  <c r="X14" i="9" a="1"/>
  <c r="X14" i="9" s="1"/>
  <c r="B18" i="9"/>
  <c r="E18" i="9" s="1"/>
  <c r="B9" i="9"/>
  <c r="C9" i="9" s="1"/>
  <c r="G85" i="9"/>
  <c r="L94" i="9"/>
  <c r="AA15" i="9" s="1"/>
  <c r="B12" i="20" s="1"/>
  <c r="B5" i="9"/>
  <c r="E5" i="9" s="1"/>
  <c r="J55" i="9" a="1"/>
  <c r="J55" i="9" s="1"/>
  <c r="G89" i="9"/>
  <c r="J52" i="9" a="1"/>
  <c r="J52" i="9" s="1"/>
  <c r="I51" i="9" a="1"/>
  <c r="I51" i="9" s="1"/>
  <c r="I63" i="9" a="1"/>
  <c r="I63" i="9" s="1"/>
  <c r="G94" i="9"/>
  <c r="V15" i="9" s="1" a="1"/>
  <c r="V15" i="9" s="1"/>
  <c r="D88" i="9"/>
  <c r="S9" i="9" s="1" a="1"/>
  <c r="S9" i="9" s="1"/>
  <c r="E90" i="9"/>
  <c r="T11" i="9" s="1" a="1"/>
  <c r="T11" i="9" s="1"/>
  <c r="C96" i="9"/>
  <c r="R17" i="9" s="1" a="1"/>
  <c r="R17" i="9" s="1"/>
  <c r="V21" i="9" a="1"/>
  <c r="V21" i="9" s="1"/>
  <c r="F94" i="9"/>
  <c r="U15" i="9" s="1" a="1"/>
  <c r="U15" i="9" s="1"/>
  <c r="H55" i="9" a="1"/>
  <c r="H55" i="9" s="1"/>
  <c r="E91" i="9"/>
  <c r="T12" i="9" s="1" a="1"/>
  <c r="T12" i="9" s="1"/>
  <c r="R23" i="9" a="1"/>
  <c r="R23" i="9" s="1"/>
  <c r="H89" i="9"/>
  <c r="W10" i="9" s="1" a="1"/>
  <c r="W10" i="9" s="1"/>
  <c r="L61" i="9"/>
  <c r="L99" i="9"/>
  <c r="AA20" i="9" s="1"/>
  <c r="B17" i="20" s="1"/>
  <c r="G56" i="9" a="1"/>
  <c r="G56" i="9" s="1"/>
  <c r="G63" i="9" a="1"/>
  <c r="G63" i="9" s="1"/>
  <c r="J54" i="9" a="1"/>
  <c r="J54" i="9" s="1"/>
  <c r="D95" i="9"/>
  <c r="E88" i="9"/>
  <c r="T9" i="9" s="1" a="1"/>
  <c r="T9" i="9" s="1"/>
  <c r="X6" i="9" a="1"/>
  <c r="X6" i="9" s="1"/>
  <c r="D94" i="9"/>
  <c r="S15" i="9" s="1" a="1"/>
  <c r="S15" i="9" s="1"/>
  <c r="I67" i="9" a="1"/>
  <c r="I67" i="9" s="1"/>
  <c r="F96" i="9"/>
  <c r="U17" i="9" s="1" a="1"/>
  <c r="U17" i="9" s="1"/>
  <c r="L53" i="9"/>
  <c r="H51" i="9" a="1"/>
  <c r="H51" i="9" s="1"/>
  <c r="H91" i="9"/>
  <c r="W12" i="9" s="1" a="1"/>
  <c r="W12" i="9" s="1"/>
  <c r="L93" i="9"/>
  <c r="AA14" i="9" s="1"/>
  <c r="B11" i="20" s="1"/>
  <c r="C90" i="9"/>
  <c r="R11" i="9" s="1" a="1"/>
  <c r="R11" i="9" s="1"/>
  <c r="Y20" i="9" a="1"/>
  <c r="Y20" i="9" s="1"/>
  <c r="D90" i="9"/>
  <c r="F85" i="9"/>
  <c r="U6" i="9" s="1" a="1"/>
  <c r="U6" i="9" s="1"/>
  <c r="R21" i="9" a="1"/>
  <c r="R21" i="9" s="1"/>
  <c r="I61" i="9" a="1"/>
  <c r="I61" i="9" s="1"/>
  <c r="G90" i="9"/>
  <c r="J59" i="9" a="1"/>
  <c r="J59" i="9" s="1"/>
  <c r="J61" i="9" a="1"/>
  <c r="J61" i="9" s="1"/>
  <c r="L62" i="9"/>
  <c r="H87" i="9"/>
  <c r="W8" i="9" s="1" a="1"/>
  <c r="W8" i="9" s="1"/>
  <c r="V24" i="9" a="1"/>
  <c r="V24" i="9" s="1"/>
  <c r="Y16" i="9" a="1"/>
  <c r="Y16" i="9" s="1"/>
  <c r="J58" i="9" a="1"/>
  <c r="J58" i="9" s="1"/>
  <c r="G86" i="9"/>
  <c r="H98" i="9"/>
  <c r="W19" i="9" s="1" a="1"/>
  <c r="W19" i="9" s="1"/>
  <c r="I68" i="9" a="1"/>
  <c r="I68" i="9" s="1"/>
  <c r="F95" i="9"/>
  <c r="U16" i="9" s="1" a="1"/>
  <c r="U16" i="9" s="1"/>
  <c r="L65" i="9"/>
  <c r="I57" i="9" a="1"/>
  <c r="I57" i="9" s="1"/>
  <c r="U21" i="9" a="1"/>
  <c r="U21" i="9" s="1"/>
  <c r="S22" i="9" a="1"/>
  <c r="S22" i="9" s="1"/>
  <c r="E96" i="9"/>
  <c r="T17" i="9" s="1" a="1"/>
  <c r="T17" i="9" s="1"/>
  <c r="I66" i="9" a="1"/>
  <c r="I66" i="9" s="1"/>
  <c r="H61" i="9" a="1"/>
  <c r="H61" i="9" s="1"/>
  <c r="B8" i="9"/>
  <c r="G68" i="9" a="1"/>
  <c r="G68" i="9" s="1"/>
  <c r="B7" i="9"/>
  <c r="E7" i="9" s="1" a="1"/>
  <c r="E7" i="9" s="1"/>
  <c r="H68" i="9" a="1"/>
  <c r="H68" i="9" s="1"/>
  <c r="L92" i="9"/>
  <c r="AA13" i="9" s="1"/>
  <c r="X18" i="9" a="1"/>
  <c r="X18" i="9" s="1"/>
  <c r="B3" i="9"/>
  <c r="D98" i="9"/>
  <c r="S19" i="9" s="1" a="1"/>
  <c r="S19" i="9" s="1"/>
  <c r="D93" i="9"/>
  <c r="S14" i="9" s="1" a="1"/>
  <c r="S14" i="9" s="1"/>
  <c r="X7" i="9" a="1"/>
  <c r="X7" i="9" s="1"/>
  <c r="H95" i="9"/>
  <c r="W16" i="9" s="1" a="1"/>
  <c r="W16" i="9" s="1"/>
  <c r="L96" i="9"/>
  <c r="AA17" i="9" s="1"/>
  <c r="B14" i="20" s="1"/>
  <c r="G91" i="9"/>
  <c r="C99" i="9"/>
  <c r="R20" i="9" s="1" a="1"/>
  <c r="R20" i="9" s="1"/>
  <c r="L55" i="9"/>
  <c r="G92" i="9"/>
  <c r="V13" i="9" s="1" a="1"/>
  <c r="V13" i="9" s="1"/>
  <c r="J56" i="9" a="1"/>
  <c r="J56" i="9" s="1"/>
  <c r="X13" i="9" a="1"/>
  <c r="X13" i="9" s="1"/>
  <c r="L91" i="9"/>
  <c r="AA12" i="9" s="1"/>
  <c r="B9" i="20" s="1"/>
  <c r="G98" i="9"/>
  <c r="V19" i="9" s="1" a="1"/>
  <c r="V19" i="9" s="1"/>
  <c r="J53" i="9" a="1"/>
  <c r="J53" i="9" s="1"/>
  <c r="I50" i="9" a="1"/>
  <c r="I50" i="9" s="1"/>
  <c r="E9" i="9"/>
  <c r="T24" i="9" a="1"/>
  <c r="T24" i="9" s="1"/>
  <c r="U22" i="9" a="1"/>
  <c r="U22" i="9" s="1"/>
  <c r="T23" i="9" a="1"/>
  <c r="T23" i="9" s="1"/>
  <c r="F98" i="9"/>
  <c r="U19" i="9" s="1" a="1"/>
  <c r="U19" i="9" s="1"/>
  <c r="X15" i="9" a="1"/>
  <c r="X15" i="9" s="1"/>
  <c r="E86" i="9"/>
  <c r="T7" i="9" s="1" a="1"/>
  <c r="T7" i="9" s="1"/>
  <c r="C89" i="9"/>
  <c r="R10" i="9" s="1" a="1"/>
  <c r="R10" i="9" s="1"/>
  <c r="J60" i="9" a="1"/>
  <c r="J60" i="9" s="1"/>
  <c r="I53" i="9" a="1"/>
  <c r="I53" i="9" s="1"/>
  <c r="E92" i="9"/>
  <c r="T13" i="9" s="1" a="1"/>
  <c r="T13" i="9" s="1"/>
  <c r="G87" i="9"/>
  <c r="K87" i="9" s="1"/>
  <c r="J50" i="9" a="1"/>
  <c r="J50" i="9" s="1"/>
  <c r="G53" i="9" a="1"/>
  <c r="G53" i="9" s="1"/>
  <c r="B6" i="9"/>
  <c r="E6" i="9" s="1"/>
  <c r="T21" i="9" a="1"/>
  <c r="T21" i="9" s="1"/>
  <c r="H53" i="9" a="1"/>
  <c r="H53" i="9" s="1"/>
  <c r="J67" i="9" a="1"/>
  <c r="J67" i="9" s="1"/>
  <c r="E99" i="9"/>
  <c r="T20" i="9" s="1" a="1"/>
  <c r="T20" i="9" s="1"/>
  <c r="D85" i="9"/>
  <c r="S6" i="9" s="1" a="1"/>
  <c r="S6" i="9" s="1"/>
  <c r="D92" i="9"/>
  <c r="S13" i="9" s="1" a="1"/>
  <c r="S13" i="9" s="1"/>
  <c r="Y18" i="9" a="1"/>
  <c r="Y18" i="9" s="1"/>
  <c r="L97" i="9"/>
  <c r="AA18" i="9" s="1"/>
  <c r="B15" i="20" s="1"/>
  <c r="R24" i="9" a="1"/>
  <c r="R24" i="9" s="1"/>
  <c r="S23" i="9" a="1"/>
  <c r="S23" i="9" s="1"/>
  <c r="C95" i="9"/>
  <c r="R16" i="9" s="1" a="1"/>
  <c r="R16" i="9" s="1"/>
  <c r="H94" i="9"/>
  <c r="W15" i="9" s="1" a="1"/>
  <c r="W15" i="9" s="1"/>
  <c r="G95" i="9"/>
  <c r="H85" i="9"/>
  <c r="K85" i="9" s="1"/>
  <c r="Y9" i="9" a="1"/>
  <c r="Y9" i="9" s="1"/>
  <c r="F91" i="9"/>
  <c r="U12" i="9" s="1" a="1"/>
  <c r="U12" i="9" s="1"/>
  <c r="I56" i="9" a="1"/>
  <c r="I56" i="9" s="1"/>
  <c r="X12" i="9" a="1"/>
  <c r="X12" i="9" s="1"/>
  <c r="I62" i="9" a="1"/>
  <c r="I62" i="9" s="1"/>
  <c r="H60" i="9" a="1"/>
  <c r="H60" i="9" s="1"/>
  <c r="X11" i="9" a="1"/>
  <c r="X11" i="9" s="1"/>
  <c r="L86" i="9"/>
  <c r="AA7" i="9" s="1"/>
  <c r="B4" i="20" s="1"/>
  <c r="B4" i="9"/>
  <c r="H92" i="9"/>
  <c r="W13" i="9" s="1" a="1"/>
  <c r="W13" i="9" s="1"/>
  <c r="F93" i="9"/>
  <c r="U14" i="9" s="1" a="1"/>
  <c r="U14" i="9" s="1"/>
  <c r="H56" i="9" a="1"/>
  <c r="H56" i="9" s="1"/>
  <c r="D89" i="9"/>
  <c r="S10" i="9" s="1" a="1"/>
  <c r="S10" i="9" s="1"/>
  <c r="H97" i="9"/>
  <c r="W18" i="9" s="1" a="1"/>
  <c r="W18" i="9" s="1"/>
  <c r="J68" i="9" a="1"/>
  <c r="J68" i="9" s="1"/>
  <c r="J62" i="9" a="1"/>
  <c r="J62" i="9" s="1"/>
  <c r="L59" i="9"/>
  <c r="B16" i="9"/>
  <c r="X19" i="9" a="1"/>
  <c r="X19" i="9" s="1"/>
  <c r="E85" i="9"/>
  <c r="T6" i="9" s="1" a="1"/>
  <c r="T6" i="9" s="1"/>
  <c r="L90" i="9"/>
  <c r="AA11" i="9" s="1"/>
  <c r="B8" i="20" s="1"/>
  <c r="H58" i="9" a="1"/>
  <c r="H58" i="9" s="1"/>
  <c r="S16" i="9" a="1"/>
  <c r="S16" i="9" s="1"/>
  <c r="H57" i="9" a="1"/>
  <c r="H57" i="9" s="1"/>
  <c r="T22" i="9" a="1"/>
  <c r="T22" i="9" s="1"/>
  <c r="C93" i="9"/>
  <c r="R14" i="9" s="1" a="1"/>
  <c r="R14" i="9" s="1"/>
  <c r="I58" i="9" a="1"/>
  <c r="I58" i="9" s="1"/>
  <c r="L52" i="9"/>
  <c r="F87" i="9"/>
  <c r="U8" i="9" s="1" a="1"/>
  <c r="U8" i="9" s="1"/>
  <c r="R22" i="9" a="1"/>
  <c r="R22" i="9" s="1"/>
  <c r="S21" i="9" a="1"/>
  <c r="S21" i="9" s="1"/>
  <c r="C7" i="9"/>
  <c r="C92" i="9"/>
  <c r="R13" i="9" s="1" a="1"/>
  <c r="R13" i="9" s="1"/>
  <c r="F86" i="9"/>
  <c r="U7" i="9" s="1" a="1"/>
  <c r="U7" i="9" s="1"/>
  <c r="H59" i="9" a="1"/>
  <c r="H59" i="9" s="1"/>
  <c r="G97" i="9"/>
  <c r="L68" i="9"/>
  <c r="W24" i="9" a="1"/>
  <c r="W24" i="9" s="1"/>
  <c r="Y12" i="9" a="1"/>
  <c r="Y12" i="9" s="1"/>
  <c r="Y11" i="9" a="1"/>
  <c r="Y11" i="9" s="1"/>
  <c r="G88" i="9"/>
  <c r="J6" i="1" s="1"/>
  <c r="L54" i="9"/>
  <c r="L87" i="9"/>
  <c r="AA8" i="9" s="1"/>
  <c r="B5" i="20" s="1"/>
  <c r="C86" i="9"/>
  <c r="R7" i="9" s="1" a="1"/>
  <c r="R7" i="9" s="1"/>
  <c r="Y15" i="9" a="1"/>
  <c r="Y15" i="9" s="1"/>
  <c r="D99" i="9"/>
  <c r="S20" i="9" s="1" a="1"/>
  <c r="S20" i="9" s="1"/>
  <c r="D96" i="9"/>
  <c r="S17" i="9" s="1" a="1"/>
  <c r="S17" i="9" s="1"/>
  <c r="L50" i="9"/>
  <c r="C98" i="9"/>
  <c r="R19" i="9" s="1" a="1"/>
  <c r="R19" i="9" s="1"/>
  <c r="B11" i="9"/>
  <c r="B14" i="9"/>
  <c r="E14" i="9" s="1"/>
  <c r="H90" i="9"/>
  <c r="W11" i="9" s="1" a="1"/>
  <c r="W11" i="9" s="1"/>
  <c r="I59" i="9" a="1"/>
  <c r="I59" i="9" s="1"/>
  <c r="E94" i="9"/>
  <c r="T15" i="9" s="1" a="1"/>
  <c r="T15" i="9" s="1"/>
  <c r="Y14" i="9" a="1"/>
  <c r="Y14" i="9" s="1"/>
  <c r="G96" i="9"/>
  <c r="L56" i="9"/>
  <c r="S24" i="9" a="1"/>
  <c r="S24" i="9" s="1"/>
  <c r="X24" i="9" a="1"/>
  <c r="X24" i="9" s="1"/>
  <c r="L67" i="9"/>
  <c r="F92" i="9"/>
  <c r="U13" i="9" s="1" a="1"/>
  <c r="U13" i="9" s="1"/>
  <c r="L89" i="9"/>
  <c r="AA10" i="9" s="1"/>
  <c r="B7" i="20" s="1"/>
  <c r="H64" i="9" a="1"/>
  <c r="H64" i="9" s="1"/>
  <c r="B12" i="9"/>
  <c r="Y8" i="9" a="1"/>
  <c r="Y8" i="9" s="1"/>
  <c r="L98" i="9"/>
  <c r="AA19" i="9" s="1"/>
  <c r="B16" i="20" s="1"/>
  <c r="L88" i="9"/>
  <c r="AA9" i="9" s="1"/>
  <c r="B6" i="20" s="1"/>
  <c r="H86" i="9"/>
  <c r="W7" i="9" s="1" a="1"/>
  <c r="W7" i="9" s="1"/>
  <c r="B17" i="9"/>
  <c r="G61" i="9" a="1"/>
  <c r="G61" i="9" s="1"/>
  <c r="Y6" i="9" a="1"/>
  <c r="Y6" i="9" s="1"/>
  <c r="H99" i="9"/>
  <c r="W20" i="9" s="1" a="1"/>
  <c r="W20" i="9" s="1"/>
  <c r="U23" i="9" a="1"/>
  <c r="U23" i="9" s="1"/>
  <c r="Y13" i="9" a="1"/>
  <c r="Y13" i="9" s="1"/>
  <c r="G65" i="9" a="1"/>
  <c r="G65" i="9" s="1"/>
  <c r="L57" i="9"/>
  <c r="X17" i="9" a="1"/>
  <c r="X17" i="9" s="1"/>
  <c r="J57" i="9" a="1"/>
  <c r="J57" i="9" s="1"/>
  <c r="E98" i="9"/>
  <c r="T19" i="9" s="1" a="1"/>
  <c r="T19" i="9" s="1"/>
  <c r="F97" i="9"/>
  <c r="U18" i="9" s="1" a="1"/>
  <c r="U18" i="9" s="1"/>
  <c r="Y24" i="9" a="1"/>
  <c r="Y24" i="9" s="1"/>
  <c r="C91" i="9"/>
  <c r="R12" i="9" s="1" a="1"/>
  <c r="R12" i="9" s="1"/>
  <c r="C97" i="9"/>
  <c r="R18" i="9" s="1" a="1"/>
  <c r="R18" i="9" s="1"/>
  <c r="C94" i="9"/>
  <c r="R15" i="9" s="1" a="1"/>
  <c r="R15" i="9" s="1"/>
  <c r="B15" i="9"/>
  <c r="X8" i="9" a="1"/>
  <c r="X8" i="9" s="1"/>
  <c r="J51" i="9" a="1"/>
  <c r="J51" i="9" s="1"/>
  <c r="G58" i="9" a="1"/>
  <c r="G58" i="9" s="1"/>
  <c r="I64" i="9" a="1"/>
  <c r="I64" i="9" s="1"/>
  <c r="I55" i="9" a="1"/>
  <c r="I55" i="9" s="1"/>
  <c r="X20" i="9" a="1"/>
  <c r="X20" i="9" s="1"/>
  <c r="H62" i="9" a="1"/>
  <c r="H62" i="9" s="1"/>
  <c r="V12" i="9" a="1"/>
  <c r="V12" i="9" s="1"/>
  <c r="C88" i="9"/>
  <c r="R9" i="9" s="1" a="1"/>
  <c r="R9" i="9" s="1"/>
  <c r="B13" i="9"/>
  <c r="J64" i="9" a="1"/>
  <c r="J64" i="9" s="1"/>
  <c r="L85" i="9"/>
  <c r="AA6" i="9" s="1"/>
  <c r="B3" i="20" s="1"/>
  <c r="E89" i="9"/>
  <c r="T10" i="9" s="1" a="1"/>
  <c r="T10" i="9" s="1"/>
  <c r="H96" i="9"/>
  <c r="W17" i="9" s="1" a="1"/>
  <c r="W17" i="9" s="1"/>
  <c r="J65" i="9" a="1"/>
  <c r="J65" i="9" s="1"/>
  <c r="G52" i="9" a="1"/>
  <c r="G52" i="9" s="1"/>
  <c r="L51" i="9"/>
  <c r="Y17" i="9" a="1"/>
  <c r="Y17" i="9" s="1"/>
  <c r="D87" i="9"/>
  <c r="S8" i="9" s="1" a="1"/>
  <c r="S8" i="9" s="1"/>
  <c r="Y19" i="9" a="1"/>
  <c r="Y19" i="9" s="1"/>
  <c r="G62" i="9" a="1"/>
  <c r="G62" i="9" s="1"/>
  <c r="L66" i="9"/>
  <c r="J63" i="9" a="1"/>
  <c r="J63" i="9" s="1"/>
  <c r="F99" i="9"/>
  <c r="U20" i="9" s="1" a="1"/>
  <c r="U20" i="9" s="1"/>
  <c r="E95" i="9"/>
  <c r="T16" i="9" s="1" a="1"/>
  <c r="T16" i="9" s="1"/>
  <c r="G99" i="9"/>
  <c r="B10" i="9"/>
  <c r="E97" i="9"/>
  <c r="T18" i="9" s="1" a="1"/>
  <c r="T18" i="9" s="1"/>
  <c r="L63" i="9"/>
  <c r="F90" i="9"/>
  <c r="U11" i="9" s="1" a="1"/>
  <c r="U11" i="9" s="1"/>
  <c r="L95" i="9"/>
  <c r="AA16" i="9" s="1"/>
  <c r="B13" i="20" s="1"/>
  <c r="H54" i="9" a="1"/>
  <c r="H54" i="9" s="1"/>
  <c r="E87" i="9"/>
  <c r="T8" i="9" s="1" a="1"/>
  <c r="T8" i="9" s="1"/>
  <c r="E93" i="9"/>
  <c r="T14" i="9" s="1" a="1"/>
  <c r="T14" i="9" s="1"/>
  <c r="H52" i="9" a="1"/>
  <c r="H52" i="9" s="1"/>
  <c r="D91" i="9"/>
  <c r="S12" i="9" s="1" a="1"/>
  <c r="S12" i="9" s="1"/>
  <c r="C5" i="9"/>
  <c r="U24" i="9" a="1"/>
  <c r="U24" i="9" s="1"/>
  <c r="Y10" i="9" a="1"/>
  <c r="Y10" i="9" s="1"/>
  <c r="I60" i="9" a="1"/>
  <c r="I60" i="9" s="1"/>
  <c r="Y21" i="9" a="1"/>
  <c r="Y21" i="9" s="1"/>
  <c r="G93" i="9"/>
  <c r="F89" i="9"/>
  <c r="U10" i="9" s="1" a="1"/>
  <c r="U10" i="9" s="1"/>
  <c r="X23" i="9" a="1"/>
  <c r="X23" i="9" s="1"/>
  <c r="F88" i="9"/>
  <c r="U9" i="9" s="1" a="1"/>
  <c r="U9" i="9" s="1"/>
  <c r="Y23" i="9" a="1"/>
  <c r="Y23" i="9" s="1"/>
  <c r="X9" i="9" a="1"/>
  <c r="X9" i="9" s="1"/>
  <c r="S11" i="9" a="1"/>
  <c r="S11" i="9" s="1"/>
  <c r="C87" i="9"/>
  <c r="R8" i="9" s="1" a="1"/>
  <c r="R8" i="9" s="1"/>
  <c r="I52" i="9" a="1"/>
  <c r="I52" i="9" s="1"/>
  <c r="H93" i="9"/>
  <c r="W14" i="9" s="1" a="1"/>
  <c r="W14" i="9" s="1"/>
  <c r="Y7" i="9" a="1"/>
  <c r="Y7" i="9" s="1"/>
  <c r="H88" i="9"/>
  <c r="W9" i="9" s="1" a="1"/>
  <c r="W9" i="9" s="1"/>
  <c r="C18" i="9"/>
  <c r="X22" i="9" a="1"/>
  <c r="X22" i="9" s="1"/>
  <c r="D86" i="9"/>
  <c r="S7" i="9" s="1" a="1"/>
  <c r="S7" i="9" s="1"/>
  <c r="D97" i="9"/>
  <c r="S18" i="9" s="1" a="1"/>
  <c r="S18" i="9" s="1"/>
  <c r="L60" i="9"/>
  <c r="C85" i="9"/>
  <c r="R6" i="9" s="1" a="1"/>
  <c r="R6" i="9" s="1"/>
  <c r="Z35" i="9"/>
  <c r="AB35" i="9" s="1"/>
  <c r="Z25" i="9"/>
  <c r="AB25" i="9" s="1"/>
  <c r="C22" i="20" s="1"/>
  <c r="G57" i="9" a="1"/>
  <c r="G57" i="9" s="1"/>
  <c r="Z29" i="9"/>
  <c r="AB29" i="9" s="1"/>
  <c r="C26" i="20" s="1"/>
  <c r="Z31" i="9"/>
  <c r="AB31" i="9" s="1"/>
  <c r="C28" i="20" s="1"/>
  <c r="K69" i="9"/>
  <c r="M69" i="9" s="1"/>
  <c r="Z30" i="9"/>
  <c r="AB30" i="9" s="1"/>
  <c r="C27" i="20" s="1"/>
  <c r="C6" i="9"/>
  <c r="Z32" i="9"/>
  <c r="AB32" i="9" s="1"/>
  <c r="Z33" i="9"/>
  <c r="AB33" i="9" s="1"/>
  <c r="Z27" i="9"/>
  <c r="AB27" i="9" s="1"/>
  <c r="C24" i="20" s="1"/>
  <c r="W22" i="9" a="1"/>
  <c r="W22" i="9" s="1"/>
  <c r="H66" i="9" a="1"/>
  <c r="H66" i="9" s="1"/>
  <c r="G51" i="9" a="1"/>
  <c r="G51" i="9" s="1"/>
  <c r="V7" i="9" a="1"/>
  <c r="V7" i="9" s="1"/>
  <c r="G64" i="9" a="1"/>
  <c r="G64" i="9" s="1"/>
  <c r="G59" i="9" a="1"/>
  <c r="G59" i="9" s="1"/>
  <c r="V22" i="9" a="1"/>
  <c r="V22" i="9" s="1"/>
  <c r="G66" i="9" a="1"/>
  <c r="G66" i="9" s="1"/>
  <c r="G67" i="9" a="1"/>
  <c r="G67" i="9" s="1"/>
  <c r="V23" i="9" a="1"/>
  <c r="V23" i="9" s="1"/>
  <c r="I65" i="9" a="1"/>
  <c r="I65" i="9" s="1"/>
  <c r="X21" i="9" a="1"/>
  <c r="X21" i="9" s="1"/>
  <c r="X10" i="9" a="1"/>
  <c r="X10" i="9" s="1"/>
  <c r="I54" i="9" a="1"/>
  <c r="I54" i="9" s="1"/>
  <c r="W6" i="9" a="1"/>
  <c r="W6" i="9" s="1"/>
  <c r="H50" i="9" a="1"/>
  <c r="H50" i="9" s="1"/>
  <c r="Y22" i="9" a="1"/>
  <c r="Y22" i="9" s="1"/>
  <c r="J66" i="9" a="1"/>
  <c r="J66" i="9" s="1"/>
  <c r="B49" i="9"/>
  <c r="C14" i="19" s="1" a="1"/>
  <c r="C14" i="19" s="1"/>
  <c r="G50" i="9" a="1"/>
  <c r="G50" i="9" s="1"/>
  <c r="V6" i="9" a="1"/>
  <c r="V6" i="9" s="1"/>
  <c r="I104" i="1" a="1"/>
  <c r="I104" i="1" s="1"/>
  <c r="J63" i="1" a="1"/>
  <c r="J63" i="1" s="1"/>
  <c r="K104" i="1" s="1"/>
  <c r="Z28" i="9"/>
  <c r="AB28" i="9" s="1"/>
  <c r="C25" i="20" s="1"/>
  <c r="W21" i="9" a="1"/>
  <c r="W21" i="9" s="1"/>
  <c r="H65" i="9" a="1"/>
  <c r="H65" i="9" s="1"/>
  <c r="V10" i="9" a="1"/>
  <c r="V10" i="9" s="1"/>
  <c r="G54" i="9" a="1"/>
  <c r="G54" i="9" s="1"/>
  <c r="Z34" i="9"/>
  <c r="AB34" i="9" s="1"/>
  <c r="V16" i="9" a="1"/>
  <c r="V16" i="9" s="1"/>
  <c r="G60" i="9" a="1"/>
  <c r="G60" i="9" s="1"/>
  <c r="V11" i="9" a="1"/>
  <c r="V11" i="9" s="1"/>
  <c r="G55" i="9" a="1"/>
  <c r="G55" i="9" s="1"/>
  <c r="W23" i="9" a="1"/>
  <c r="W23" i="9" s="1"/>
  <c r="H67" i="9" a="1"/>
  <c r="H67" i="9" s="1"/>
  <c r="Q5" i="9"/>
  <c r="N5" i="17"/>
  <c r="C16" i="10"/>
  <c r="B10" i="20"/>
  <c r="E18" i="19" a="1"/>
  <c r="E18" i="19" s="1"/>
  <c r="AB26" i="9"/>
  <c r="C23" i="20" s="1"/>
  <c r="I36" i="12"/>
  <c r="C37" i="12"/>
  <c r="G11" i="15"/>
  <c r="H40" i="6"/>
  <c r="F278" i="17"/>
  <c r="K5" i="17"/>
  <c r="K6" i="17" s="1"/>
  <c r="H11" i="15"/>
  <c r="D35" i="18"/>
  <c r="C11" i="8" s="1"/>
  <c r="J35" i="14"/>
  <c r="C12" i="8" s="1"/>
  <c r="D35" i="14"/>
  <c r="C10" i="8" s="1"/>
  <c r="E35" i="18"/>
  <c r="H10" i="7"/>
  <c r="I40" i="6"/>
  <c r="D2" i="2"/>
  <c r="N7" i="17" l="1"/>
  <c r="C19" i="10" s="1"/>
  <c r="H71" i="1"/>
  <c r="H65" i="1"/>
  <c r="H68" i="1"/>
  <c r="K97" i="9"/>
  <c r="K98" i="9"/>
  <c r="M98" i="9" s="1"/>
  <c r="K93" i="9"/>
  <c r="M93" i="9" s="1"/>
  <c r="V8" i="9" a="1"/>
  <c r="V8" i="9" s="1"/>
  <c r="Z8" i="9" s="1"/>
  <c r="AB8" i="9" s="1"/>
  <c r="C5" i="20" s="1"/>
  <c r="K63" i="9"/>
  <c r="M63" i="9" s="1"/>
  <c r="K61" i="9"/>
  <c r="M61" i="9" s="1"/>
  <c r="Z16" i="9"/>
  <c r="AB16" i="9" s="1"/>
  <c r="C13" i="20" s="1"/>
  <c r="K91" i="9"/>
  <c r="M91" i="9" s="1"/>
  <c r="K86" i="9"/>
  <c r="M86" i="9" s="1"/>
  <c r="K55" i="9"/>
  <c r="M55" i="9" s="1"/>
  <c r="Z24" i="9"/>
  <c r="AB24" i="9" s="1"/>
  <c r="C21" i="20" s="1"/>
  <c r="K88" i="9"/>
  <c r="M88" i="9" s="1"/>
  <c r="K92" i="9"/>
  <c r="M92" i="9" s="1"/>
  <c r="K95" i="9"/>
  <c r="Z19" i="9"/>
  <c r="AB19" i="9" s="1"/>
  <c r="C16" i="20" s="1"/>
  <c r="D10" i="19" a="1"/>
  <c r="D10" i="19" s="1"/>
  <c r="E3" i="9"/>
  <c r="C3" i="9"/>
  <c r="C8" i="9"/>
  <c r="E8" i="9"/>
  <c r="E49" i="9" a="1"/>
  <c r="E49" i="9" s="1"/>
  <c r="K89" i="9"/>
  <c r="M89" i="9" s="1"/>
  <c r="Z15" i="9"/>
  <c r="AB15" i="9" s="1"/>
  <c r="C12" i="20" s="1"/>
  <c r="K99" i="9"/>
  <c r="M99" i="9" s="1"/>
  <c r="K58" i="9"/>
  <c r="M58" i="9" s="1"/>
  <c r="K68" i="9"/>
  <c r="M68" i="9" s="1"/>
  <c r="K62" i="9"/>
  <c r="M62" i="9" s="1"/>
  <c r="K90" i="9"/>
  <c r="M90" i="9" s="1"/>
  <c r="V18" i="9" a="1"/>
  <c r="V18" i="9" s="1"/>
  <c r="Z18" i="9" s="1"/>
  <c r="AB18" i="9" s="1"/>
  <c r="C15" i="20" s="1"/>
  <c r="K51" i="9"/>
  <c r="M51" i="9" s="1"/>
  <c r="C14" i="9"/>
  <c r="M97" i="9"/>
  <c r="Z12" i="9"/>
  <c r="AB12" i="9" s="1"/>
  <c r="C9" i="20" s="1"/>
  <c r="M85" i="9"/>
  <c r="K60" i="9"/>
  <c r="M60" i="9" s="1"/>
  <c r="V9" i="9" a="1"/>
  <c r="V9" i="9" s="1"/>
  <c r="Z9" i="9" s="1"/>
  <c r="AB9" i="9" s="1"/>
  <c r="C6" i="20" s="1"/>
  <c r="Z13" i="9"/>
  <c r="AB13" i="9" s="1"/>
  <c r="C10" i="20" s="1"/>
  <c r="Z11" i="9"/>
  <c r="AB11" i="9" s="1"/>
  <c r="C8" i="20" s="1"/>
  <c r="K52" i="9"/>
  <c r="M52" i="9" s="1"/>
  <c r="K64" i="9"/>
  <c r="M64" i="9" s="1"/>
  <c r="Z7" i="9"/>
  <c r="AB7" i="9" s="1"/>
  <c r="C4" i="20" s="1"/>
  <c r="K53" i="9"/>
  <c r="M53" i="9" s="1"/>
  <c r="K56" i="9"/>
  <c r="M56" i="9" s="1"/>
  <c r="K50" i="9"/>
  <c r="M50" i="9" s="1"/>
  <c r="K57" i="9"/>
  <c r="M57" i="9" s="1"/>
  <c r="C17" i="9"/>
  <c r="E17" i="9"/>
  <c r="E10" i="9"/>
  <c r="C10" i="9"/>
  <c r="V17" i="9" a="1"/>
  <c r="V17" i="9" s="1"/>
  <c r="Z17" i="9" s="1"/>
  <c r="AB17" i="9" s="1"/>
  <c r="C14" i="20" s="1"/>
  <c r="K96" i="9"/>
  <c r="M96" i="9" s="1"/>
  <c r="M95" i="9"/>
  <c r="V14" i="9" a="1"/>
  <c r="V14" i="9" s="1"/>
  <c r="Z14" i="9" s="1"/>
  <c r="AB14" i="9" s="1"/>
  <c r="C11" i="20" s="1"/>
  <c r="F49" i="9" a="1"/>
  <c r="F49" i="9" s="1"/>
  <c r="K54" i="9"/>
  <c r="M54" i="9" s="1"/>
  <c r="K59" i="9"/>
  <c r="M59" i="9" s="1"/>
  <c r="C12" i="9"/>
  <c r="E12" i="9"/>
  <c r="Z10" i="9"/>
  <c r="AB10" i="9" s="1"/>
  <c r="C7" i="20" s="1"/>
  <c r="E16" i="9"/>
  <c r="C16" i="9"/>
  <c r="E4" i="9"/>
  <c r="C4" i="9"/>
  <c r="E15" i="9"/>
  <c r="C15" i="9"/>
  <c r="C11" i="9"/>
  <c r="E11" i="9"/>
  <c r="M87" i="9"/>
  <c r="K94" i="9"/>
  <c r="M94" i="9" s="1"/>
  <c r="J104" i="1" a="1"/>
  <c r="J104" i="1" s="1"/>
  <c r="V20" i="9" a="1"/>
  <c r="V20" i="9" s="1"/>
  <c r="Z20" i="9" s="1"/>
  <c r="AB20" i="9" s="1"/>
  <c r="C17" i="20" s="1"/>
  <c r="E13" i="9"/>
  <c r="C13" i="9"/>
  <c r="K65" i="9"/>
  <c r="M65" i="9" s="1"/>
  <c r="Z21" i="9"/>
  <c r="AB21" i="9" s="1"/>
  <c r="C18" i="20" s="1"/>
  <c r="D12" i="19" a="1"/>
  <c r="D12" i="19" s="1"/>
  <c r="D14" i="19" a="1"/>
  <c r="D14" i="19" s="1"/>
  <c r="E14" i="19" s="1"/>
  <c r="D8" i="19" a="1"/>
  <c r="D8" i="19" s="1"/>
  <c r="Z6" i="9"/>
  <c r="AB6" i="9" s="1"/>
  <c r="C3" i="20" s="1"/>
  <c r="C12" i="19" a="1"/>
  <c r="C12" i="19" s="1"/>
  <c r="X5" i="9" a="1"/>
  <c r="X5" i="9" s="1"/>
  <c r="L49" i="9"/>
  <c r="L84" i="9"/>
  <c r="AA5" i="9" s="1"/>
  <c r="G49" i="9" a="1"/>
  <c r="G49" i="9" s="1"/>
  <c r="E84" i="9"/>
  <c r="T5" i="9" s="1" a="1"/>
  <c r="T5" i="9" s="1"/>
  <c r="J49" i="9" a="1"/>
  <c r="J49" i="9" s="1"/>
  <c r="H49" i="9" a="1"/>
  <c r="H49" i="9" s="1"/>
  <c r="F84" i="9"/>
  <c r="U5" i="9" s="1" a="1"/>
  <c r="U5" i="9" s="1"/>
  <c r="B2" i="9"/>
  <c r="D84" i="9"/>
  <c r="S5" i="9" s="1" a="1"/>
  <c r="S5" i="9" s="1"/>
  <c r="G84" i="9"/>
  <c r="V5" i="9" s="1" a="1"/>
  <c r="V5" i="9" s="1"/>
  <c r="Y5" i="9" a="1"/>
  <c r="Y5" i="9" s="1"/>
  <c r="H84" i="9"/>
  <c r="W5" i="9" s="1" a="1"/>
  <c r="W5" i="9" s="1"/>
  <c r="I49" i="9" a="1"/>
  <c r="I49" i="9" s="1"/>
  <c r="C84" i="9"/>
  <c r="R5" i="9" s="1" a="1"/>
  <c r="R5" i="9" s="1"/>
  <c r="Z23" i="9"/>
  <c r="AB23" i="9" s="1"/>
  <c r="C20" i="20" s="1"/>
  <c r="A2" i="20"/>
  <c r="A2" i="21"/>
  <c r="B2" i="21" s="1"/>
  <c r="C49" i="9" a="1"/>
  <c r="C49" i="9" s="1"/>
  <c r="K67" i="9"/>
  <c r="M67" i="9" s="1"/>
  <c r="D49" i="9" a="1"/>
  <c r="D49" i="9" s="1"/>
  <c r="K66" i="9"/>
  <c r="M66" i="9" s="1"/>
  <c r="Z22" i="9"/>
  <c r="AB22" i="9" s="1"/>
  <c r="E20" i="19" s="1" a="1"/>
  <c r="E20" i="19" s="1"/>
  <c r="C9" i="8"/>
  <c r="C14" i="8" s="1"/>
  <c r="C4" i="10" s="1"/>
  <c r="C15" i="10" s="1"/>
  <c r="C17" i="10" s="1"/>
  <c r="P7" i="17"/>
  <c r="F35" i="18"/>
  <c r="C19" i="20" l="1"/>
  <c r="K84" i="9"/>
  <c r="M84" i="9" s="1"/>
  <c r="E12" i="19"/>
  <c r="E16" i="19" s="1"/>
  <c r="B2" i="20"/>
  <c r="C21" i="9"/>
  <c r="K49" i="9"/>
  <c r="C23" i="9" s="1"/>
  <c r="C3" i="10" s="1"/>
  <c r="C11" i="10" s="1"/>
  <c r="C13" i="10" s="1"/>
  <c r="C21" i="10" s="1"/>
  <c r="Z5" i="9"/>
  <c r="AB5" i="9" s="1"/>
  <c r="C2" i="20" s="1"/>
  <c r="C2" i="9"/>
  <c r="E2" i="9"/>
  <c r="M49" i="9"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<sst xmlns="http://schemas.openxmlformats.org/spreadsheetml/2006/main" count="1537" uniqueCount="374">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</sst>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23" xfId="1" applyNumberFormat="1" applyFont="1" applyFill="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cellXfs>
  <cellStyles count="2">
    <cellStyle name="Comma" xfId="1" builtinId="3"/>
    <cellStyle name="Normal" xfId="0" builtinId="0"/>
  </cellStyles>
  <dxfs count="128">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97226</xdr:colOff>
      <xdr:row>110</xdr:row>
      <xdr:rowOff>2672</xdr:rowOff>
    </xdr:from>
    <xdr:to>
      <xdr:col>15</xdr:col>
      <xdr:colOff>289581</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-520515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0810185" createdVersion="8" refreshedVersion="8" minRefreshableVersion="3" recordCount="102" xr:uid="{46CBB50D-3613-4E5B-8212-DD0313DCD05A}">
  <cacheSource type="worksheet">
    <worksheetSource name="Table1"/>
  </cacheSource>
  <cacheFields count="14">
    <cacheField name="Date" numFmtId="14">
      <sharedItems containsSemiMixedTypes="0" containsNonDate="0" containsDate="1" containsString="0" minDate="2025-07-25T00:00:00" maxDate="2025-11-06T00:00:00" count="85">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Blank="1" containsMixedTypes="1" containsNumber="1" containsInteger="1" minValue="604" maxValue="1052" count="436">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m/>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33">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Blank="1" containsMixedTypes="1" containsNumber="1" containsInteger="1" minValue="837" maxValue="49562"/>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504631" createdVersion="8" refreshedVersion="8" minRefreshableVersion="3" recordCount="273" xr:uid="{B5BDFB73-D93A-4A7A-8149-666BC190B09B}">
  <cacheSource type="worksheet">
    <worksheetSource name="Table14"/>
  </cacheSource>
  <cacheFields count="7">
    <cacheField name="Date" numFmtId="14">
      <sharedItems containsSemiMixedTypes="0" containsNonDate="0" containsDate="1" containsString="0" minDate="2025-10-17T00:00:00" maxDate="2025-11-06T00:00:00"/>
    </cacheField>
    <cacheField name="Party" numFmtId="0">
      <sharedItems containsBlank="1" count="58">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Al madina" u="1"/>
        <s v="Closing August CF" u="1"/>
        <s v="Azam" u="1"/>
        <s v="Shehzad Kamoki" u="1"/>
        <s v="Cash" u="1"/>
        <s v="Raaz Fabrics"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6203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64385.51572787127"/>
    </cacheField>
    <cacheField name="Rate" numFmtId="0">
      <sharedItems containsString="0" containsBlank="1" containsNumber="1" minValue="10" maxValue="12"/>
    </cacheField>
    <cacheField name="Total" numFmtId="164">
      <sharedItems containsSemiMixedTypes="0" containsString="0" containsNumber="1" minValue="0" maxValue="2774166.05705925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736109"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967593" createdVersion="8" refreshedVersion="8" minRefreshableVersion="3" recordCount="37" xr:uid="{3E5C2981-ACF5-44A9-8567-B1D65DB3A8D2}">
  <cacheSource type="worksheet">
    <worksheetSource name="Table3"/>
  </cacheSource>
  <cacheFields count="9">
    <cacheField name="Date" numFmtId="14">
      <sharedItems containsSemiMixedTypes="0" containsNonDate="0" containsDate="1" containsString="0" minDate="2025-05-02T00:00:00" maxDate="2025-11-05T00:00:00" count="97">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m u="1"/>
        <s v="Shamil" u="1"/>
        <s v="Aqib Freight" u="1"/>
      </sharedItems>
    </cacheField>
    <cacheField name="Vehicle Number" numFmtId="0">
      <sharedItems containsBlank="1" containsMixedTypes="1" containsNumber="1" containsInteger="1" minValue="31" maxValue="9940" count="68">
        <s v="Closing Balance CF"/>
        <m/>
        <s v="LES 3747"/>
        <s v="TKL 364"/>
        <s v="TKQ 364"/>
        <s v="LXT 8141"/>
        <s v="RPT 5560"/>
        <s v="266 man"/>
        <s v="TAT 098"/>
        <s v="CAR 6957"/>
        <s v="E 9399"/>
        <s v="SGI 9875"/>
        <s v="301 mann"/>
        <s v="FDS 1187"/>
        <s v="C 894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2083332"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0-15T00:00:00" maxDate="2025-11-0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00000"/>
    </cacheField>
    <cacheField name="Balance" numFmtId="0">
      <sharedItems containsSemiMixedTypes="0" containsString="0" containsNumber="1" containsInteger="1" minValue="-10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s v="NF"/>
    <m/>
    <m/>
    <m/>
  </r>
  <r>
    <x v="16"/>
    <x v="16"/>
    <x v="62"/>
    <s v="Silky"/>
    <x v="38"/>
    <n v="8039"/>
    <n v="8494"/>
    <s v="NF"/>
    <m/>
    <m/>
    <m/>
  </r>
  <r>
    <x v="16"/>
    <x v="16"/>
    <x v="63"/>
    <s v="Silky"/>
    <x v="39"/>
    <n v="14597"/>
    <n v="15473"/>
    <s v="NF"/>
    <m/>
    <m/>
    <m/>
  </r>
  <r>
    <x v="16"/>
    <x v="0"/>
    <x v="64"/>
    <s v="Silky"/>
    <x v="40"/>
    <n v="3127"/>
    <n v="3372"/>
    <s v="NF"/>
    <m/>
    <m/>
    <m/>
  </r>
  <r>
    <x v="16"/>
    <x v="7"/>
    <x v="65"/>
    <s v="Silky"/>
    <x v="41"/>
    <n v="15048"/>
    <s v="-"/>
    <s v="NF"/>
    <m/>
    <m/>
    <m/>
  </r>
  <r>
    <x v="16"/>
    <x v="7"/>
    <x v="66"/>
    <s v="Silky"/>
    <x v="42"/>
    <n v="10548"/>
    <n v="11375"/>
    <s v="NF"/>
    <m/>
    <m/>
    <m/>
  </r>
  <r>
    <x v="16"/>
    <x v="16"/>
    <x v="67"/>
    <s v="Silky"/>
    <x v="43"/>
    <n v="11436"/>
    <n v="11921"/>
    <s v="NF"/>
    <m/>
    <m/>
    <m/>
  </r>
  <r>
    <x v="16"/>
    <x v="0"/>
    <x v="68"/>
    <s v="Silky"/>
    <x v="44"/>
    <n v="4007"/>
    <n v="4270"/>
    <s v="NF"/>
    <m/>
    <m/>
    <m/>
  </r>
  <r>
    <x v="16"/>
    <x v="19"/>
    <x v="69"/>
    <m/>
    <x v="0"/>
    <m/>
    <m/>
    <e v="#DIV/0!"/>
    <m/>
    <m/>
    <m/>
  </r>
  <r>
    <x v="16"/>
    <x v="19"/>
    <x v="69"/>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
  <r>
    <d v="2025-10-17T00:00:00"/>
    <x v="0"/>
    <m/>
    <n v="-1084090"/>
    <m/>
    <s v="Bank"/>
    <m/>
  </r>
  <r>
    <d v="2025-10-17T00:00:00"/>
    <x v="0"/>
    <m/>
    <n v="-520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10"/>
    <m/>
    <n v="500000"/>
    <s v="500k credit"/>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0"/>
    <m/>
    <n v="1000"/>
    <s v="khalid sahab"/>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64385.51572787127"/>
    <n v="10"/>
    <n v="2774166.057059254"/>
  </r>
  <r>
    <x v="1"/>
    <n v="61832.479882955384"/>
    <n v="10"/>
    <n v="706817.84930504765"/>
  </r>
  <r>
    <x v="2"/>
    <n v="148277.24945135333"/>
    <n v="10"/>
    <n v="1482772.4945135333"/>
  </r>
  <r>
    <x v="3"/>
    <n v="0"/>
    <n v="10.5"/>
    <n v="0"/>
  </r>
  <r>
    <x v="4"/>
    <n v="0"/>
    <n v="10"/>
    <n v="0"/>
  </r>
  <r>
    <x v="5"/>
    <n v="46940.380395025604"/>
    <n v="10"/>
    <n v="414511.70446232631"/>
  </r>
  <r>
    <x v="6"/>
    <n v="23186.722750548648"/>
    <n v="10"/>
    <n v="231867.22750548649"/>
  </r>
  <r>
    <x v="7"/>
    <n v="10401.426481346014"/>
    <n v="10"/>
    <n v="124817.11777615217"/>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27">
      <pivotArea field="0" grandRow="1" outline="0" collapsedLevelsAreSubtotals="1" axis="axisRow" fieldPosition="0">
        <references count="1">
          <reference field="4294967294" count="1" selected="0">
            <x v="1"/>
          </reference>
        </references>
      </pivotArea>
    </format>
    <format dxfId="126">
      <pivotArea field="0" grandRow="1" outline="0" collapsedLevelsAreSubtotals="1" axis="axisRow" fieldPosition="0">
        <references count="1">
          <reference field="4294967294" count="1" selected="0">
            <x v="0"/>
          </reference>
        </references>
      </pivotArea>
    </format>
    <format dxfId="125">
      <pivotArea collapsedLevelsAreSubtotals="1" fieldPosition="0">
        <references count="2">
          <reference field="4294967294" count="1" selected="0">
            <x v="1"/>
          </reference>
          <reference field="0" count="0"/>
        </references>
      </pivotArea>
    </format>
    <format dxfId="12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29:K147" firstHeaderRow="0" firstDataRow="1" firstDataCol="1"/>
  <pivotFields count="14">
    <pivotField axis="axisRow" numFmtId="14" showAll="0">
      <items count="86">
        <item m="1" x="69"/>
        <item m="1" x="70"/>
        <item m="1" x="71"/>
        <item m="1" x="72"/>
        <item m="1" x="73"/>
        <item m="1" x="74"/>
        <item m="1" x="84"/>
        <item m="1" x="75"/>
        <item m="1" x="76"/>
        <item m="1" x="77"/>
        <item m="1" x="78"/>
        <item m="1" x="79"/>
        <item m="1" x="80"/>
        <item m="1" x="81"/>
        <item m="1" x="82"/>
        <item m="1" x="83"/>
        <item m="1" x="46"/>
        <item m="1" x="45"/>
        <item m="1" x="40"/>
        <item m="1" x="47"/>
        <item m="1" x="48"/>
        <item m="1" x="49"/>
        <item m="1" x="50"/>
        <item m="1" x="51"/>
        <item m="1" x="52"/>
        <item m="1" x="53"/>
        <item m="1" x="54"/>
        <item m="1" x="55"/>
        <item m="1" x="56"/>
        <item m="1" x="57"/>
        <item m="1" x="58"/>
        <item m="1" x="59"/>
        <item m="1" x="60"/>
        <item m="1" x="61"/>
        <item m="1" x="62"/>
        <item m="1" x="63"/>
        <item m="1" x="64"/>
        <item m="1" x="65"/>
        <item m="1" x="66"/>
        <item m="1" x="67"/>
        <item m="1" x="68"/>
        <item m="1" x="18"/>
        <item m="1" x="19"/>
        <item m="1" x="20"/>
        <item m="1" x="21"/>
        <item m="1" x="22"/>
        <item m="1" x="23"/>
        <item m="1" x="24"/>
        <item m="1" x="25"/>
        <item m="1" x="26"/>
        <item m="1" x="27"/>
        <item m="1" x="28"/>
        <item m="1" x="29"/>
        <item m="1" x="30"/>
        <item m="1" x="31"/>
        <item m="1" x="41"/>
        <item m="1" x="32"/>
        <item m="1" x="33"/>
        <item m="1" x="42"/>
        <item m="1" x="34"/>
        <item m="1" x="35"/>
        <item m="1" x="36"/>
        <item m="1" x="43"/>
        <item m="1" x="44"/>
        <item m="1" x="37"/>
        <item m="1" x="38"/>
        <item m="1" x="39"/>
        <item x="0"/>
        <item x="1"/>
        <item x="2"/>
        <item x="3"/>
        <item x="4"/>
        <item x="5"/>
        <item x="6"/>
        <item x="7"/>
        <item x="8"/>
        <item x="9"/>
        <item x="10"/>
        <item x="11"/>
        <item x="12"/>
        <item x="13"/>
        <item m="1" x="17"/>
        <item x="14"/>
        <item x="15"/>
        <item x="16"/>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8">
    <i>
      <x v="67"/>
    </i>
    <i>
      <x v="68"/>
    </i>
    <i>
      <x v="69"/>
    </i>
    <i>
      <x v="70"/>
    </i>
    <i>
      <x v="71"/>
    </i>
    <i>
      <x v="72"/>
    </i>
    <i>
      <x v="73"/>
    </i>
    <i>
      <x v="74"/>
    </i>
    <i>
      <x v="75"/>
    </i>
    <i>
      <x v="76"/>
    </i>
    <i>
      <x v="77"/>
    </i>
    <i>
      <x v="78"/>
    </i>
    <i>
      <x v="79"/>
    </i>
    <i>
      <x v="80"/>
    </i>
    <i>
      <x v="82"/>
    </i>
    <i>
      <x v="83"/>
    </i>
    <i>
      <x v="84"/>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3">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29:G200" firstHeaderRow="0" firstDataRow="1" firstDataCol="1" rowPageCount="3" colPageCount="1"/>
  <pivotFields count="14">
    <pivotField axis="axisPage" showAll="0">
      <items count="86">
        <item m="1" x="69"/>
        <item m="1" x="70"/>
        <item m="1" x="71"/>
        <item m="1" x="72"/>
        <item m="1" x="73"/>
        <item m="1" x="74"/>
        <item m="1" x="84"/>
        <item m="1" x="75"/>
        <item m="1" x="76"/>
        <item m="1" x="77"/>
        <item m="1" x="78"/>
        <item m="1" x="79"/>
        <item m="1" x="80"/>
        <item m="1" x="81"/>
        <item m="1" x="82"/>
        <item m="1" x="83"/>
        <item m="1" x="46"/>
        <item m="1" x="45"/>
        <item m="1" x="40"/>
        <item m="1" x="47"/>
        <item m="1" x="48"/>
        <item m="1" x="49"/>
        <item m="1" x="50"/>
        <item m="1" x="51"/>
        <item m="1" x="52"/>
        <item m="1" x="53"/>
        <item m="1" x="54"/>
        <item m="1" x="55"/>
        <item m="1" x="56"/>
        <item m="1" x="57"/>
        <item m="1" x="58"/>
        <item m="1" x="59"/>
        <item m="1" x="60"/>
        <item m="1" x="61"/>
        <item m="1" x="62"/>
        <item m="1" x="63"/>
        <item m="1" x="64"/>
        <item m="1" x="65"/>
        <item m="1" x="66"/>
        <item m="1" x="67"/>
        <item m="1" x="68"/>
        <item m="1" x="18"/>
        <item m="1" x="19"/>
        <item m="1" x="20"/>
        <item m="1" x="21"/>
        <item m="1" x="22"/>
        <item m="1" x="23"/>
        <item m="1" x="24"/>
        <item m="1" x="25"/>
        <item m="1" x="26"/>
        <item m="1" x="27"/>
        <item m="1" x="28"/>
        <item m="1" x="29"/>
        <item m="1" x="30"/>
        <item m="1" x="31"/>
        <item m="1" x="41"/>
        <item m="1" x="32"/>
        <item m="1" x="33"/>
        <item m="1" x="42"/>
        <item m="1" x="34"/>
        <item m="1" x="35"/>
        <item m="1" x="36"/>
        <item m="1" x="43"/>
        <item m="1" x="44"/>
        <item m="1" x="37"/>
        <item m="1" x="38"/>
        <item m="1" x="39"/>
        <item x="0"/>
        <item x="1"/>
        <item x="2"/>
        <item x="3"/>
        <item x="4"/>
        <item x="5"/>
        <item x="6"/>
        <item x="7"/>
        <item x="8"/>
        <item x="9"/>
        <item x="10"/>
        <item x="11"/>
        <item x="12"/>
        <item x="13"/>
        <item m="1" x="17"/>
        <item x="14"/>
        <item x="15"/>
        <item x="16"/>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3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326"/>
        <item m="1" x="327"/>
        <item m="1" x="328"/>
        <item m="1" x="329"/>
        <item m="1" x="330"/>
        <item m="1" x="331"/>
        <item m="1" x="332"/>
        <item m="1" x="333"/>
        <item m="1" x="334"/>
        <item m="1" x="335"/>
        <item m="1" x="336"/>
        <item m="1" x="337"/>
        <item m="1" x="338"/>
        <item m="1" x="339"/>
        <item m="1" x="340"/>
        <item m="1" x="341"/>
        <item m="1" x="342"/>
        <item m="1" x="343"/>
        <item m="1" x="372"/>
        <item m="1" x="344"/>
        <item m="1" x="345"/>
        <item m="1" x="346"/>
        <item m="1" x="347"/>
        <item m="1" x="348"/>
        <item m="1" x="349"/>
        <item m="1" x="361"/>
        <item m="1" x="350"/>
        <item m="1" x="351"/>
        <item m="1" x="352"/>
        <item m="1" x="353"/>
        <item m="1" x="354"/>
        <item m="1" x="355"/>
        <item m="1" x="356"/>
        <item m="1" x="357"/>
        <item m="1" x="358"/>
        <item m="1" x="359"/>
        <item m="1" x="360"/>
        <item m="1" x="362"/>
        <item m="1" x="363"/>
        <item m="1" x="364"/>
        <item m="1" x="365"/>
        <item m="1" x="366"/>
        <item m="1" x="367"/>
        <item m="1" x="368"/>
        <item m="1" x="369"/>
        <item m="1" x="370"/>
        <item m="1" x="371"/>
        <item m="1" x="373"/>
        <item m="1" x="374"/>
        <item m="1" x="375"/>
        <item m="1" x="376"/>
        <item m="1" x="377"/>
        <item m="1" x="378"/>
        <item m="1" x="379"/>
        <item m="1" x="380"/>
        <item m="1" x="381"/>
        <item m="1" x="382"/>
        <item m="1" x="383"/>
        <item m="1" x="384"/>
        <item m="1" x="385"/>
        <item m="1" x="386"/>
        <item m="1" x="387"/>
        <item m="1" x="218"/>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19"/>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6"/>
        <item m="1" x="317"/>
        <item m="1" x="318"/>
        <item m="1" x="315"/>
        <item m="1" x="319"/>
        <item m="1" x="320"/>
        <item m="1" x="321"/>
        <item m="1" x="322"/>
        <item m="1" x="323"/>
        <item m="1" x="324"/>
        <item m="1" x="325"/>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showAll="0"/>
    <pivotField axis="axisPage" multipleItemSelectionAllowed="1" showAll="0">
      <items count="234">
        <item m="1" x="187"/>
        <item m="1" x="216"/>
        <item m="1" x="217"/>
        <item m="1" x="225"/>
        <item m="1" x="215"/>
        <item m="1" x="214"/>
        <item m="1" x="218"/>
        <item m="1" x="229"/>
        <item m="1" x="221"/>
        <item m="1" x="222"/>
        <item m="1" x="219"/>
        <item m="1" x="220"/>
        <item m="1" x="230"/>
        <item m="1" x="223"/>
        <item m="1" x="224"/>
        <item m="1" x="227"/>
        <item m="1" x="228"/>
        <item m="1" x="226"/>
        <item m="1" x="182"/>
        <item m="1" x="232"/>
        <item m="1" x="181"/>
        <item m="1" x="231"/>
        <item m="1" x="184"/>
        <item m="1" x="183"/>
        <item m="1" x="185"/>
        <item m="1" x="191"/>
        <item m="1" x="186"/>
        <item m="1" x="188"/>
        <item m="1" x="192"/>
        <item m="1" x="193"/>
        <item m="1" x="212"/>
        <item m="1" x="189"/>
        <item m="1" x="190"/>
        <item m="1" x="152"/>
        <item m="1" x="174"/>
        <item m="1" x="213"/>
        <item m="1" x="194"/>
        <item m="1" x="195"/>
        <item m="1" x="196"/>
        <item m="1" x="197"/>
        <item m="1" x="198"/>
        <item m="1" x="128"/>
        <item m="1" x="199"/>
        <item m="1" x="200"/>
        <item m="1" x="201"/>
        <item m="1" x="202"/>
        <item m="1" x="203"/>
        <item m="1" x="204"/>
        <item m="1" x="205"/>
        <item m="1" x="206"/>
        <item m="1" x="207"/>
        <item m="1" x="208"/>
        <item m="1" x="209"/>
        <item m="1" x="210"/>
        <item m="1" x="211"/>
        <item x="0"/>
        <item m="1" x="127"/>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26"/>
        <item m="1" x="107"/>
        <item m="1" x="108"/>
        <item m="1" x="109"/>
        <item m="1" x="110"/>
        <item m="1" x="111"/>
        <item m="1" x="112"/>
        <item m="1" x="113"/>
        <item m="1" x="114"/>
        <item m="1" x="115"/>
        <item m="1" x="116"/>
        <item m="1" x="117"/>
        <item m="1" x="118"/>
        <item m="1" x="119"/>
        <item m="1" x="120"/>
        <item m="1" x="121"/>
        <item m="1" x="122"/>
        <item m="1" x="123"/>
        <item m="1" x="124"/>
        <item m="1" x="125"/>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1">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98">
        <item m="1" x="81"/>
        <item m="1" x="82"/>
        <item m="1" x="83"/>
        <item m="1" x="84"/>
        <item m="1" x="85"/>
        <item m="1" x="86"/>
        <item m="1" x="87"/>
        <item m="1" x="96"/>
        <item m="1" x="77"/>
        <item m="1" x="88"/>
        <item m="1" x="89"/>
        <item m="1" x="90"/>
        <item m="1" x="91"/>
        <item m="1" x="92"/>
        <item m="1" x="93"/>
        <item m="1" x="94"/>
        <item m="1" x="48"/>
        <item m="1" x="49"/>
        <item m="1" x="95"/>
        <item m="1" x="50"/>
        <item m="1" x="47"/>
        <item m="1" x="51"/>
        <item m="1" x="53"/>
        <item m="1" x="54"/>
        <item m="1" x="55"/>
        <item m="1" x="57"/>
        <item m="1" x="58"/>
        <item m="1" x="59"/>
        <item m="1" x="52"/>
        <item m="1" x="56"/>
        <item m="1" x="60"/>
        <item m="1" x="61"/>
        <item m="1" x="62"/>
        <item m="1" x="63"/>
        <item m="1" x="46"/>
        <item m="1" x="64"/>
        <item m="1" x="78"/>
        <item m="1" x="79"/>
        <item m="1" x="80"/>
        <item m="1" x="65"/>
        <item m="1" x="66"/>
        <item m="1" x="67"/>
        <item m="1" x="68"/>
        <item m="1" x="69"/>
        <item m="1" x="70"/>
        <item m="1" x="71"/>
        <item m="1" x="72"/>
        <item m="1" x="73"/>
        <item m="1" x="74"/>
        <item m="1" x="75"/>
        <item m="1" x="76"/>
        <item m="1" x="17"/>
        <item m="1" x="18"/>
        <item m="1" x="19"/>
        <item m="1" x="20"/>
        <item m="1" x="21"/>
        <item m="1" x="22"/>
        <item m="1" x="23"/>
        <item m="1" x="24"/>
        <item m="1" x="26"/>
        <item m="1" x="27"/>
        <item m="1" x="28"/>
        <item m="1" x="25"/>
        <item m="1" x="29"/>
        <item m="1" x="30"/>
        <item m="1" x="31"/>
        <item m="1" x="32"/>
        <item m="1" x="33"/>
        <item m="1" x="34"/>
        <item m="1" x="35"/>
        <item m="1" x="36"/>
        <item m="1" x="37"/>
        <item m="1" x="38"/>
        <item m="1" x="39"/>
        <item m="1" x="40"/>
        <item m="1" x="41"/>
        <item m="1" x="42"/>
        <item m="1" x="43"/>
        <item m="1" x="44"/>
        <item m="1" x="45"/>
        <item x="0"/>
        <item x="1"/>
        <item x="2"/>
        <item x="3"/>
        <item x="4"/>
        <item x="5"/>
        <item x="6"/>
        <item x="7"/>
        <item x="8"/>
        <item x="9"/>
        <item x="10"/>
        <item x="11"/>
        <item x="12"/>
        <item x="13"/>
        <item x="14"/>
        <item x="15"/>
        <item x="16"/>
        <item t="default"/>
      </items>
    </pivotField>
    <pivotField axis="axisPage" showAll="0">
      <items count="9">
        <item x="1"/>
        <item x="0"/>
        <item m="1" x="5"/>
        <item m="1" x="7"/>
        <item x="2"/>
        <item x="3"/>
        <item x="4"/>
        <item m="1" x="6"/>
        <item t="default"/>
      </items>
    </pivotField>
    <pivotField axis="axisRow" showAll="0">
      <items count="69">
        <item m="1" x="58"/>
        <item m="1" x="42"/>
        <item m="1" x="54"/>
        <item m="1" x="24"/>
        <item m="1" x="59"/>
        <item m="1" x="60"/>
        <item m="1" x="55"/>
        <item m="1" x="56"/>
        <item m="1" x="57"/>
        <item x="1"/>
        <item m="1" x="35"/>
        <item m="1" x="61"/>
        <item m="1" x="62"/>
        <item m="1" x="63"/>
        <item m="1" x="64"/>
        <item m="1" x="65"/>
        <item m="1" x="66"/>
        <item m="1" x="31"/>
        <item m="1" x="32"/>
        <item m="1" x="67"/>
        <item m="1" x="33"/>
        <item x="0"/>
        <item m="1" x="34"/>
        <item m="1" x="36"/>
        <item m="1" x="37"/>
        <item m="1" x="38"/>
        <item m="1" x="39"/>
        <item m="1" x="40"/>
        <item m="1" x="41"/>
        <item m="1" x="43"/>
        <item m="1" x="44"/>
        <item m="1" x="26"/>
        <item m="1" x="45"/>
        <item m="1" x="46"/>
        <item m="1" x="47"/>
        <item m="1" x="30"/>
        <item m="1" x="48"/>
        <item m="1" x="49"/>
        <item m="1" x="28"/>
        <item m="1" x="50"/>
        <item m="1" x="51"/>
        <item m="1" x="52"/>
        <item m="1" x="53"/>
        <item m="1" x="16"/>
        <item m="1" x="17"/>
        <item m="1" x="18"/>
        <item m="1" x="19"/>
        <item m="1" x="20"/>
        <item m="1" x="21"/>
        <item m="1" x="22"/>
        <item m="1" x="23"/>
        <item m="1" x="25"/>
        <item m="1" x="27"/>
        <item m="1" x="29"/>
        <item m="1" x="15"/>
        <item x="2"/>
        <item x="3"/>
        <item x="4"/>
        <item x="5"/>
        <item x="6"/>
        <item x="7"/>
        <item x="8"/>
        <item x="9"/>
        <item x="10"/>
        <item x="11"/>
        <item x="12"/>
        <item x="13"/>
        <item x="1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3" firstHeaderRow="0" firstDataRow="1" firstDataCol="1"/>
  <pivotFields count="7">
    <pivotField numFmtId="14" showAll="0"/>
    <pivotField axis="axisRow" showAll="0">
      <items count="59">
        <item x="3"/>
        <item x="21"/>
        <item x="1"/>
        <item m="1" x="43"/>
        <item m="1" x="48"/>
        <item x="31"/>
        <item x="2"/>
        <item x="7"/>
        <item x="14"/>
        <item x="22"/>
        <item x="8"/>
        <item m="1" x="56"/>
        <item m="1" x="42"/>
        <item x="4"/>
        <item x="38"/>
        <item m="1" x="54"/>
        <item x="16"/>
        <item x="10"/>
        <item x="5"/>
        <item x="37"/>
        <item x="25"/>
        <item x="12"/>
        <item m="1" x="57"/>
        <item x="34"/>
        <item x="36"/>
        <item m="1" x="55"/>
        <item m="1" x="47"/>
        <item x="13"/>
        <item m="1" x="49"/>
        <item m="1" x="50"/>
        <item m="1" x="51"/>
        <item m="1" x="52"/>
        <item x="26"/>
        <item m="1" x="53"/>
        <item m="1" x="44"/>
        <item x="27"/>
        <item x="19"/>
        <item m="1" x="41"/>
        <item m="1" x="40"/>
        <item x="24"/>
        <item x="35"/>
        <item x="6"/>
        <item x="9"/>
        <item m="1" x="45"/>
        <item x="29"/>
        <item m="1" x="46"/>
        <item x="0"/>
        <item x="11"/>
        <item x="15"/>
        <item x="17"/>
        <item x="18"/>
        <item x="20"/>
        <item x="23"/>
        <item x="28"/>
        <item x="30"/>
        <item x="32"/>
        <item x="33"/>
        <item m="1" x="39"/>
        <item t="default"/>
      </items>
    </pivotField>
    <pivotField dataField="1" showAll="0"/>
    <pivotField dataField="1" showAll="0"/>
    <pivotField showAll="0"/>
    <pivotField showAll="0"/>
    <pivotField showAll="0"/>
  </pivotFields>
  <rowFields count="1">
    <field x="1"/>
  </rowFields>
  <rowItems count="40">
    <i>
      <x/>
    </i>
    <i>
      <x v="1"/>
    </i>
    <i>
      <x v="2"/>
    </i>
    <i>
      <x v="5"/>
    </i>
    <i>
      <x v="6"/>
    </i>
    <i>
      <x v="7"/>
    </i>
    <i>
      <x v="8"/>
    </i>
    <i>
      <x v="9"/>
    </i>
    <i>
      <x v="10"/>
    </i>
    <i>
      <x v="13"/>
    </i>
    <i>
      <x v="14"/>
    </i>
    <i>
      <x v="16"/>
    </i>
    <i>
      <x v="17"/>
    </i>
    <i>
      <x v="18"/>
    </i>
    <i>
      <x v="19"/>
    </i>
    <i>
      <x v="20"/>
    </i>
    <i>
      <x v="21"/>
    </i>
    <i>
      <x v="23"/>
    </i>
    <i>
      <x v="24"/>
    </i>
    <i>
      <x v="27"/>
    </i>
    <i>
      <x v="32"/>
    </i>
    <i>
      <x v="35"/>
    </i>
    <i>
      <x v="36"/>
    </i>
    <i>
      <x v="39"/>
    </i>
    <i>
      <x v="40"/>
    </i>
    <i>
      <x v="41"/>
    </i>
    <i>
      <x v="42"/>
    </i>
    <i>
      <x v="44"/>
    </i>
    <i>
      <x v="46"/>
    </i>
    <i>
      <x v="47"/>
    </i>
    <i>
      <x v="48"/>
    </i>
    <i>
      <x v="49"/>
    </i>
    <i>
      <x v="50"/>
    </i>
    <i>
      <x v="51"/>
    </i>
    <i>
      <x v="52"/>
    </i>
    <i>
      <x v="53"/>
    </i>
    <i>
      <x v="54"/>
    </i>
    <i>
      <x v="55"/>
    </i>
    <i>
      <x v="56"/>
    </i>
    <i t="grand">
      <x/>
    </i>
  </rowItems>
  <colFields count="1">
    <field x="-2"/>
  </colFields>
  <colItems count="2">
    <i>
      <x/>
    </i>
    <i i="1">
      <x v="1"/>
    </i>
  </colItems>
  <dataFields count="2">
    <dataField name="Sum of Credit" fld="3" baseField="0" baseItem="0"/>
    <dataField name="Sum of Debit" fld="2" baseField="0" baseItem="0"/>
  </dataFields>
  <formats count="1">
    <format dxfId="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9"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34">
        <item m="1" x="216"/>
        <item m="1" x="217"/>
        <item m="1" x="215"/>
        <item m="1" x="214"/>
        <item m="1" x="218"/>
        <item m="1" x="220"/>
        <item m="1" x="219"/>
        <item m="1" x="221"/>
        <item m="1" x="222"/>
        <item m="1" x="223"/>
        <item m="1" x="224"/>
        <item m="1" x="225"/>
        <item m="1" x="226"/>
        <item m="1" x="227"/>
        <item m="1" x="152"/>
        <item m="1" x="174"/>
        <item m="1" x="228"/>
        <item m="1" x="229"/>
        <item m="1" x="230"/>
        <item m="1" x="182"/>
        <item m="1" x="181"/>
        <item m="1" x="231"/>
        <item m="1" x="232"/>
        <item m="1" x="191"/>
        <item m="1" x="183"/>
        <item m="1" x="184"/>
        <item m="1" x="185"/>
        <item m="1" x="186"/>
        <item m="1" x="187"/>
        <item m="1" x="188"/>
        <item m="1" x="189"/>
        <item m="1" x="190"/>
        <item m="1" x="192"/>
        <item m="1" x="212"/>
        <item m="1" x="193"/>
        <item m="1" x="213"/>
        <item m="1" x="194"/>
        <item m="1" x="195"/>
        <item m="1" x="196"/>
        <item m="1" x="197"/>
        <item m="1" x="198"/>
        <item m="1" x="128"/>
        <item m="1" x="199"/>
        <item m="1" x="200"/>
        <item m="1" x="201"/>
        <item m="1" x="202"/>
        <item m="1" x="203"/>
        <item m="1" x="204"/>
        <item m="1" x="205"/>
        <item m="1" x="206"/>
        <item m="1" x="207"/>
        <item m="1" x="208"/>
        <item m="1" x="209"/>
        <item m="1" x="210"/>
        <item m="1" x="211"/>
        <item x="0"/>
        <item m="1" x="127"/>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26"/>
        <item m="1" x="107"/>
        <item m="1" x="108"/>
        <item m="1" x="109"/>
        <item m="1" x="110"/>
        <item m="1" x="111"/>
        <item m="1" x="112"/>
        <item m="1" x="113"/>
        <item m="1" x="114"/>
        <item m="1" x="115"/>
        <item m="1" x="116"/>
        <item m="1" x="117"/>
        <item m="1" x="118"/>
        <item m="1" x="119"/>
        <item m="1" x="120"/>
        <item m="1" x="121"/>
        <item m="1" x="122"/>
        <item m="1" x="123"/>
        <item m="1" x="124"/>
        <item m="1" x="125"/>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6">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5">
      <pivotArea type="all" dataOnly="0" outline="0" fieldPosition="0"/>
    </format>
    <format dxfId="14">
      <pivotArea outline="0" collapsedLevelsAreSubtotals="1" fieldPosition="0"/>
    </format>
    <format dxfId="13">
      <pivotArea field="4" type="button" dataOnly="0" labelOnly="1" outline="0" axis="axisRow" fieldPosition="0"/>
    </format>
    <format dxfId="12">
      <pivotArea dataOnly="0" labelOnly="1" fieldPosition="0">
        <references count="1">
          <reference field="4" count="0"/>
        </references>
      </pivotArea>
    </format>
    <format dxfId="11">
      <pivotArea dataOnly="0" labelOnly="1" grandRow="1" outline="0" fieldPosition="0"/>
    </format>
    <format dxfId="10">
      <pivotArea dataOnly="0" labelOnly="1" outline="0" fieldPosition="0">
        <references count="1">
          <reference field="4294967294" count="2">
            <x v="0"/>
            <x v="1"/>
          </reference>
        </references>
      </pivotArea>
    </format>
    <format dxfId="9">
      <pivotArea grandRow="1" outline="0" collapsedLevelsAreSubtotals="1" fieldPosition="0"/>
    </format>
    <format dxfId="8">
      <pivotArea field="4" type="button" dataOnly="0" labelOnly="1" outline="0" axis="axisRow" fieldPosition="0"/>
    </format>
    <format dxfId="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3">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31" s="1"/>
        <i x="36" s="1"/>
        <i x="44" s="1"/>
        <i x="34" s="1"/>
        <i x="21" s="1"/>
        <i x="30" s="1"/>
        <i x="187" s="1" nd="1"/>
        <i x="216" s="1" nd="1"/>
        <i x="217" s="1" nd="1"/>
        <i x="225" s="1" nd="1"/>
        <i x="215" s="1" nd="1"/>
        <i x="214" s="1" nd="1"/>
        <i x="218" s="1" nd="1"/>
        <i x="229" s="1" nd="1"/>
        <i x="221" s="1" nd="1"/>
        <i x="222" s="1" nd="1"/>
        <i x="219" s="1" nd="1"/>
        <i x="220" s="1" nd="1"/>
        <i x="230" s="1" nd="1"/>
        <i x="223" s="1" nd="1"/>
        <i x="224" s="1" nd="1"/>
        <i x="227" s="1" nd="1"/>
        <i x="228" s="1" nd="1"/>
        <i x="226" s="1" nd="1"/>
        <i x="182" s="1" nd="1"/>
        <i x="232" s="1" nd="1"/>
        <i x="181" s="1" nd="1"/>
        <i x="231" s="1" nd="1"/>
        <i x="184" s="1" nd="1"/>
        <i x="145" s="1" nd="1"/>
        <i x="183" s="1" nd="1"/>
        <i x="185" s="1" nd="1"/>
        <i x="191" s="1" nd="1"/>
        <i x="186" s="1" nd="1"/>
        <i x="188" s="1" nd="1"/>
        <i x="204" s="1" nd="1"/>
        <i x="127" s="1" nd="1"/>
        <i x="192" s="1" nd="1"/>
        <i x="132" s="1" nd="1"/>
        <i x="198" s="1" nd="1"/>
        <i x="193" s="1" nd="1"/>
        <i x="196" s="1" nd="1"/>
        <i x="201" s="1" nd="1"/>
        <i x="212" s="1" nd="1"/>
        <i x="194" s="1" nd="1"/>
        <i x="206" s="1" nd="1"/>
        <i x="209" s="1" nd="1"/>
        <i x="200" s="1" nd="1"/>
        <i x="189" s="1" nd="1"/>
        <i x="197" s="1" nd="1"/>
        <i x="190" s="1" nd="1"/>
        <i x="195" s="1" nd="1"/>
        <i x="128" s="1" nd="1"/>
        <i x="199" s="1" nd="1"/>
        <i x="205" s="1" nd="1"/>
        <i x="142" s="1" nd="1"/>
        <i x="202" s="1" nd="1"/>
        <i x="207" s="1" nd="1"/>
        <i x="203" s="1" nd="1"/>
        <i x="169" s="1" nd="1"/>
        <i x="208" s="1" nd="1"/>
        <i x="210" s="1" nd="1"/>
        <i x="130" s="1" nd="1"/>
        <i x="137" s="1" nd="1"/>
        <i x="211" s="1" nd="1"/>
        <i x="134" s="1" nd="1"/>
        <i x="135" s="1" nd="1"/>
        <i x="129" s="1" nd="1"/>
        <i x="133" s="1" nd="1"/>
        <i x="131" s="1" nd="1"/>
        <i x="140" s="1" nd="1"/>
        <i x="136" s="1" nd="1"/>
        <i x="138" s="1" nd="1"/>
        <i x="141" s="1" nd="1"/>
        <i x="149" s="1" nd="1"/>
        <i x="139" s="1" nd="1"/>
        <i x="148" s="1" nd="1"/>
        <i x="153" s="1" nd="1"/>
        <i x="147" s="1" nd="1"/>
        <i x="150" s="1" nd="1"/>
        <i x="160" s="1" nd="1"/>
        <i x="146" s="1" nd="1"/>
        <i x="143" s="1" nd="1"/>
        <i x="144" s="1" nd="1"/>
        <i x="159" s="1" nd="1"/>
        <i x="152" s="1" nd="1"/>
        <i x="163" s="1" nd="1"/>
        <i x="158" s="1" nd="1"/>
        <i x="151" s="1" nd="1"/>
        <i x="175" s="1" nd="1"/>
        <i x="156" s="1" nd="1"/>
        <i x="166" s="1" nd="1"/>
        <i x="164" s="1" nd="1"/>
        <i x="154" s="1" nd="1"/>
        <i x="162" s="1" nd="1"/>
        <i x="161" s="1" nd="1"/>
        <i x="157" s="1" nd="1"/>
        <i x="167" s="1" nd="1"/>
        <i x="165" s="1" nd="1"/>
        <i x="168" s="1" nd="1"/>
        <i x="155" s="1" nd="1"/>
        <i x="96" s="1" nd="1"/>
        <i x="170" s="1" nd="1"/>
        <i x="171" s="1" nd="1"/>
        <i x="54" s="1" nd="1"/>
        <i x="56" s="1" nd="1"/>
        <i x="178" s="1" nd="1"/>
        <i x="50" s="1" nd="1"/>
        <i x="97" s="1" nd="1"/>
        <i x="172" s="1" nd="1"/>
        <i x="173" s="1" nd="1"/>
        <i x="53" s="1" nd="1"/>
        <i x="180" s="1" nd="1"/>
        <i x="52" s="1" nd="1"/>
        <i x="67" s="1" nd="1"/>
        <i x="179" s="1" nd="1"/>
        <i x="174" s="1" nd="1"/>
        <i x="71" s="1" nd="1"/>
        <i x="177" s="1" nd="1"/>
        <i x="176" s="1" nd="1"/>
        <i x="92" s="1" nd="1"/>
        <i x="45" s="1" nd="1"/>
        <i x="57" s="1" nd="1"/>
        <i x="93" s="1" nd="1"/>
        <i x="91" s="1" nd="1"/>
        <i x="49" s="1" nd="1"/>
        <i x="51" s="1" nd="1"/>
        <i x="55" s="1" nd="1"/>
        <i x="46" s="1" nd="1"/>
        <i x="81" s="1" nd="1"/>
        <i x="86" s="1" nd="1"/>
        <i x="47" s="1" nd="1"/>
        <i x="48" s="1" nd="1"/>
        <i x="58" s="1" nd="1"/>
        <i x="61" s="1" nd="1"/>
        <i x="68" s="1" nd="1"/>
        <i x="60" s="1" nd="1"/>
        <i x="63" s="1" nd="1"/>
        <i x="62" s="1" nd="1"/>
        <i x="105" s="1" nd="1"/>
        <i x="59" s="1" nd="1"/>
        <i x="84" s="1" nd="1"/>
        <i x="100" s="1" nd="1"/>
        <i x="64" s="1" nd="1"/>
        <i x="89" s="1" nd="1"/>
        <i x="102" s="1" nd="1"/>
        <i x="73" s="1" nd="1"/>
        <i x="114" s="1" nd="1"/>
        <i x="72" s="1" nd="1"/>
        <i x="69" s="1" nd="1"/>
        <i x="65" s="1" nd="1"/>
        <i x="66" s="1" nd="1"/>
        <i x="85" s="1" nd="1"/>
        <i x="74" s="1" nd="1"/>
        <i x="75" s="1" nd="1"/>
        <i x="70" s="1" nd="1"/>
        <i x="77" s="1" nd="1"/>
        <i x="78" s="1" nd="1"/>
        <i x="107" s="1" nd="1"/>
        <i x="76" s="1" nd="1"/>
        <i x="94" s="1" nd="1"/>
        <i x="82" s="1" nd="1"/>
        <i x="79" s="1" nd="1"/>
        <i x="83" s="1" nd="1"/>
        <i x="80" s="1" nd="1"/>
        <i x="87" s="1" nd="1"/>
        <i x="106" s="1" nd="1"/>
        <i x="101" s="1" nd="1"/>
        <i x="120" s="1" nd="1"/>
        <i x="88" s="1" nd="1"/>
        <i x="99" s="1" nd="1"/>
        <i x="90" s="1" nd="1"/>
        <i x="115" s="1" nd="1"/>
        <i x="98" s="1" nd="1"/>
        <i x="113" s="1" nd="1"/>
        <i x="104" s="1" nd="1"/>
        <i x="103" s="1" nd="1"/>
        <i x="119" s="1" nd="1"/>
        <i x="116" s="1" nd="1"/>
        <i x="124" s="1" nd="1"/>
        <i x="108" s="1" nd="1"/>
        <i x="117" s="1" nd="1"/>
        <i x="122" s="1" nd="1"/>
        <i x="126" s="1" nd="1"/>
        <i x="123" s="1" nd="1"/>
        <i x="118" s="1" nd="1"/>
        <i x="109" s="1" nd="1"/>
        <i x="112" s="1" nd="1"/>
        <i x="121" s="1" nd="1"/>
        <i x="110" s="1" nd="1"/>
        <i x="111" s="1" nd="1"/>
        <i x="125" s="1" nd="1"/>
        <i x="95" s="1" nd="1"/>
        <i x="21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3">
      <calculatedColumnFormula>B49</calculatedColumnFormula>
    </tableColumn>
    <tableColumn id="2" xr3:uid="{7EDCC2ED-0339-42B3-9633-FFEA7A3DD9F3}" name="Tiyaar" dataDxfId="122">
      <calculatedColumnFormula>SUMIFS(ledger!G:G, ledger!B:B, B2, ledger!E:E, "&lt;&gt;*RD*") / 1.0936</calculatedColumnFormula>
    </tableColumn>
    <tableColumn id="3" xr3:uid="{CC1535DD-3FE7-4F55-8040-E7643388A78E}" name="Rate"/>
    <tableColumn id="4" xr3:uid="{059CB70B-ADAD-4985-84AA-0D530BAC5567}" name="Total" dataDxfId="12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0" dataDxfId="119">
  <autoFilter ref="B7:E20" xr:uid="{449E5D32-DF9C-4018-96AB-CA98E118D910}"/>
  <tableColumns count="4">
    <tableColumn id="1" xr3:uid="{F663704C-91DD-4BB9-B7EB-EEB0C5EDED6C}" name="Description" dataDxfId="118"/>
    <tableColumn id="2" xr3:uid="{6D94D495-CD0B-4FD3-9771-81D731982A97}" name="Rate" dataDxfId="117" dataCellStyle="Comma"/>
    <tableColumn id="3" xr3:uid="{2D14CEAD-3602-40E7-A488-3584EBC9141E}" name="gazana" dataDxfId="116" dataCellStyle="Comma"/>
    <tableColumn id="4" xr3:uid="{06FEE63C-6480-4079-8426-51BC26B38B34}" name="sum" dataDxfId="11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4" totalsRowDxfId="113"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2" dataDxfId="111" headerRowCellStyle="Comma" dataCellStyle="Comma">
  <autoFilter ref="B2:C5" xr:uid="{136E8F7F-D03F-4198-8335-91A003EA9E45}"/>
  <tableColumns count="2">
    <tableColumn id="1" xr3:uid="{279FA697-9952-479A-AC05-0D4992B41374}" name="Column1" dataDxfId="110" dataCellStyle="Comma"/>
    <tableColumn id="2" xr3:uid="{8A64998B-65EF-41CD-BCB0-3DDB7B359C54}" name="Column2" dataDxfId="10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8"/>
    <tableColumn id="2" xr3:uid="{51D27FA2-8DDF-4369-BAF7-7D1FE90E16A0}" name="Column2" dataDxfId="10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06" totalsRowDxfId="10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4" totalsRowCount="1" headerRowDxfId="102" dataDxfId="101" headerRowCellStyle="Comma" dataCellStyle="Comma">
  <autoFilter ref="A1:K103" xr:uid="{11DACEC6-751B-4B1D-817F-5C5BCD38EF6D}"/>
  <tableColumns count="11">
    <tableColumn id="1" xr3:uid="{2FCE3FA8-A48C-4685-8919-AE44C6C71FD9}" name="Date" dataDxfId="100" dataCellStyle="Comma"/>
    <tableColumn id="2" xr3:uid="{5780FD5F-0890-44E6-B59C-8E37A559FE36}" name="Party Name" dataDxfId="99" dataCellStyle="Comma"/>
    <tableColumn id="3" xr3:uid="{5B3ECD85-9174-40AC-BFBD-49CAC97A83D3}" name="Bill Number" dataDxfId="98" dataCellStyle="Comma"/>
    <tableColumn id="4" xr3:uid="{11B50761-04B6-4262-AD4D-7182450037D1}" name="Quality" dataDxfId="97" dataCellStyle="Comma"/>
    <tableColumn id="5" xr3:uid="{2C556969-B713-4967-BD24-466AACCBE5F5}" name="Shipment Number" dataDxfId="96" totalsRowDxfId="95" dataCellStyle="Comma"/>
    <tableColumn id="6" xr3:uid="{F4E1FD2B-9017-4DEB-B772-BF447ECE56F7}" name="Kora/metre" dataDxfId="94" totalsRowDxfId="93" dataCellStyle="Comma"/>
    <tableColumn id="7" xr3:uid="{52ACC1DA-7A76-4A90-B809-3A1AE728E7EA}" name="Tiyaar/gaz" dataDxfId="92" totalsRowDxfId="91" dataCellStyle="Comma"/>
    <tableColumn id="8" xr3:uid="{31A0FF5E-56F0-44D1-9865-73256B964660}" name="shortage %" dataDxfId="90" totalsRowDxfId="89" dataCellStyle="Comma">
      <calculatedColumnFormula>_xlfn.XLOOKUP(Table1[[#This Row],[Shipment Number]], 'pivot '!A:A,'pivot '!G:G, "NF")</calculatedColumnFormula>
    </tableColumn>
    <tableColumn id="9" xr3:uid="{F99075E0-AC8E-094D-BB85-272AD2C6C568}" name="tiyar/meters" totalsRowFunction="custom" dataDxfId="88" totalsRowDxfId="87"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86" totalsRowDxfId="85"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4" totalsRowDxfId="83"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0" totalsRowCount="1" headerRowDxfId="80" headerRowBorderDxfId="79" tableBorderDxfId="78">
  <autoFilter ref="A1:I39" xr:uid="{F8E8C957-ABE7-4E4F-8D4E-7D44E26B334F}"/>
  <tableColumns count="9">
    <tableColumn id="1" xr3:uid="{C2E817D6-AB98-4DDD-8890-736B27F261CD}" name="Date" dataDxfId="77" totalsRowDxfId="76"/>
    <tableColumn id="2" xr3:uid="{CFB51890-CCDC-463C-81C9-3F8BD7469CB9}" name="Party Name"/>
    <tableColumn id="3" xr3:uid="{A113D971-1C9D-4733-99C4-BD0CC4333209}" name="Vehicle Number"/>
    <tableColumn id="4" xr3:uid="{49780304-3DD1-4AE9-98EE-2BC7EB8F3B57}" name="Weight" dataDxfId="75" totalsRowDxfId="74" dataCellStyle="Comma"/>
    <tableColumn id="5" xr3:uid="{FCAF1BC6-1D8C-42AD-8BBC-F924BF2DC7FE}" name="Rate" dataDxfId="73" totalsRowDxfId="72" dataCellStyle="Comma"/>
    <tableColumn id="6" xr3:uid="{8C70A624-4134-410C-9C45-9FDEB51D51BF}" name="Rent" dataDxfId="71" totalsRowDxfId="70" dataCellStyle="Comma"/>
    <tableColumn id="7" xr3:uid="{EBCE10AE-9634-4982-9C95-37ABC8A7078C}" name="Total" totalsRowFunction="sum" dataDxfId="69" totalsRowDxfId="68" dataCellStyle="Comma">
      <calculatedColumnFormula>D2*E2</calculatedColumnFormula>
    </tableColumn>
    <tableColumn id="9" xr3:uid="{D4788559-C94A-44D9-B9AE-E72B214355AC}" name="Paid" totalsRowFunction="sum" dataDxfId="67" totalsRowDxfId="66" dataCellStyle="Comma"/>
    <tableColumn id="8" xr3:uid="{E26F5BF0-1875-4FC6-994D-49F202ED562B}" name="balance" totalsRowFunction="sum" dataDxfId="65" totalsRowDxfId="6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78" totalsRowCount="1">
  <autoFilter ref="A1:G277" xr:uid="{CB032221-B416-47A8-9A76-693DE76CFD04}"/>
  <tableColumns count="7">
    <tableColumn id="1" xr3:uid="{554B1EED-65B6-4E9A-B646-82727FAC40DE}" name="Date" dataDxfId="62" totalsRowDxfId="61"/>
    <tableColumn id="2" xr3:uid="{32259059-42CF-4947-83DE-115AA430BE2B}" name="Party"/>
    <tableColumn id="3" xr3:uid="{A1320223-D55D-483C-91C3-AB19B95CC9D8}" name="Debit" totalsRowFunction="sum" dataDxfId="60" totalsRowDxfId="59" dataCellStyle="Comma"/>
    <tableColumn id="4" xr3:uid="{E9745767-9FF0-4B1C-9052-FF335D1D7588}" name="Credit" totalsRowFunction="sum" dataDxfId="58" totalsRowDxfId="57" dataCellStyle="Comma"/>
    <tableColumn id="5" xr3:uid="{5C88A48E-2467-4E6D-B626-2442B7FD0BE4}" name="Description"/>
    <tableColumn id="6" xr3:uid="{63CA4666-144E-4BE6-8B7C-7CB992BD3041}" name="Mode" totalsRowFunction="custom" dataDxfId="56" totalsRowDxfId="5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4" tableBorderDxfId="53" totalsRowBorderDxfId="52">
  <autoFilter ref="J3:K6" xr:uid="{DCE01694-23ED-48BF-8B92-4186B9ED10A8}"/>
  <tableColumns count="2">
    <tableColumn id="1" xr3:uid="{C8484DAF-2989-4C2F-9AEC-A6917E1C57F6}" name="Type" dataDxfId="51"/>
    <tableColumn id="2" xr3:uid="{B07B7A2A-4D4E-4654-BED6-FE2F0A7BEC34}" name="Amount" dataDxfId="5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49" headerRowBorderDxfId="48" tableBorderDxfId="47" totalsRowBorderDxfId="46">
  <autoFilter ref="M3:O6" xr:uid="{D166BDD1-ACD7-45D7-8AE9-7350373F8CEB}"/>
  <tableColumns count="3">
    <tableColumn id="1" xr3:uid="{64F0205E-DEA7-4571-BA86-E4374A5FEE28}" name="Type" totalsRowLabel="Total" dataDxfId="45" totalsRowDxfId="44"/>
    <tableColumn id="2" xr3:uid="{15FA05F9-789C-4459-9BE0-5C1EC84D3365}" name="amount" totalsRowFunction="custom" dataDxfId="43" totalsRowDxfId="42">
      <totalsRowFormula>SUM(N5:N6)</totalsRowFormula>
    </tableColumn>
    <tableColumn id="3" xr3:uid="{3681D409-90C6-44D0-BDE2-4B5943A516F0}" name="Actual" totalsRowFunction="custom" totalsRowDxfId="4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0" totalsRowDxfId="39"/>
    <tableColumn id="2" xr3:uid="{5B9D0FEE-4304-4C5C-A05C-5B27CF7841D3}" name="Type"/>
    <tableColumn id="3" xr3:uid="{6A91CA0D-C802-4C6F-9F39-CA53687E8EDE}" name="Description"/>
    <tableColumn id="4" xr3:uid="{A251D40C-AB87-4BB4-85F8-444B20E32FDF}" name="Total" totalsRowFunction="custom" dataDxfId="38" totalsRowDxfId="3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36" headerRowBorderDxfId="35">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4"/>
    <tableColumn id="4" xr3:uid="{1889A312-9B41-4EC4-BD8F-05252F27084A}" name="Price" totalsRowFunction="sum"/>
    <tableColumn id="6" xr3:uid="{8B974B20-F003-4E67-8660-024FA4F324A9}" name="Party"/>
    <tableColumn id="7" xr3:uid="{0A5A5C21-FD61-47DA-9F54-66A6479FA557}" name="Paid" dataDxfId="33">
      <calculatedColumnFormula>SUMIFS(Table14[Debit], Table14[Date], Table8[[#This Row],[Date]], Table14[Party], Table8[[#This Row],[Party]])</calculatedColumnFormula>
    </tableColumn>
    <tableColumn id="8" xr3:uid="{8DCB3B43-2161-4081-82EC-CDB0F4DE4E6F}" name="Balance" totalsRowFunction="sum" dataDxfId="3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31" headerRowBorderDxfId="30">
  <autoFilter ref="A4:H10" xr:uid="{A4C80688-A8BA-4BA7-90B4-791CD99446B4}"/>
  <sortState xmlns:xlrd2="http://schemas.microsoft.com/office/spreadsheetml/2017/richdata2" ref="A5:H6">
    <sortCondition ref="A4:A6"/>
  </sortState>
  <tableColumns count="8">
    <tableColumn id="1" xr3:uid="{4A818912-918E-4111-ACFC-BC93FEF7C1AD}" name="Date" dataDxfId="29" totalsRowDxfId="28"/>
    <tableColumn id="8" xr3:uid="{477ACFD5-62AF-4F69-974B-E9B974C11D7D}" name="Party Name" dataDxfId="2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26">
      <calculatedColumnFormula>Table2[[#This Row],[Quantity]]*200*Table2[[#This Row],[Boxes]]</calculatedColumnFormula>
    </tableColumn>
    <tableColumn id="6" xr3:uid="{30432929-CBD4-4BA8-B63F-CD0F6CF6405F}" name="Paid" totalsRowFunction="sum" dataDxfId="2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2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3" totalsRowDxfId="2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21" totalsRowDxfId="20"/>
    <tableColumn id="2" xr3:uid="{053BFC14-4828-417C-9F9F-95B6E232A945}" name="Amount" totalsRowFunction="custom" dataDxfId="19" totalsRowDxfId="1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17" totalsRowDxfId="1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6" totalsRowDxfId="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4" totalsRowDxfId="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
      <calculatedColumnFormula>Billing!Q5</calculatedColumnFormula>
    </tableColumn>
    <tableColumn id="2" xr3:uid="{7093A59E-B58F-487D-888A-9AA8156B5F9A}" name="Amount Paid" dataDxfId="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0"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A17" zoomScale="64" workbookViewId="0">
      <selection activeCell="G27" sqref="G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109375" bestFit="1" customWidth="1"/>
    <col min="25" max="25" width="12.44140625" bestFit="1" customWidth="1"/>
    <col min="26" max="26" width="11.5546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264385.51572787127</v>
      </c>
      <c r="D2">
        <v>10</v>
      </c>
      <c r="E2" s="14">
        <f>(SUMIFS(ledger!G:G, ledger!B:B, B2, ledger!E:E, "&lt;&gt;*RD*",ledger!D:D, "Silky") / 1.0936)*12 + (SUMIFS(ledger!G:G, ledger!B:B, B2, ledger!E:E, "&lt;&gt;*RD*",ledger!D:D, "Chamki") / 1.0936)*10</f>
        <v>2774166.057059254</v>
      </c>
      <c r="Q2" t="s">
        <v>1</v>
      </c>
    </row>
    <row r="3" spans="2:30" x14ac:dyDescent="0.3">
      <c r="B3" t="str">
        <f t="shared" si="0"/>
        <v>Ejaz Sahab</v>
      </c>
      <c r="C3" s="18">
        <f>SUMIFS(ledger!G:G, ledger!B:B, B3, ledger!E:E, "&lt;&gt;*RD*") / 1.0936</f>
        <v>61832.479882955384</v>
      </c>
      <c r="D3">
        <v>10</v>
      </c>
      <c r="E3" s="14">
        <f>(SUMIFS(ledger!G:G, ledger!B:B, B3, ledger!E:E, "&lt;&gt;*RD*",ledger!D:D, "Silky") / 1.0936)*12 + (SUMIFS(ledger!G:G, ledger!B:B, B3, ledger!E:E, "&lt;&gt;*RD*",ledger!D:D, "Chamki") / 1.0936)*10</f>
        <v>706817.84930504765</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1955061</v>
      </c>
      <c r="S5" s="23" cm="1">
        <f t="array" ref="S5">_xlfn.BYROW(B49, _xlfn.LAMBDA(_xlpm.party, SUMIFS(ledger!G:G, ledger!B:B, _xlpm.party, ledger!E:E, "&lt;&gt;*RD*") / 1.0936 ))+_xlfn.IFNA(D84,0)</f>
        <v>1787729.5171909293</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95343.818580833948</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1151113.7527432335</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18074970.738844186</v>
      </c>
      <c r="AA5" s="23">
        <f>(SUMIF(Table14[Party],Q5,Table14[Credit]))+_xlfn.IFNA(L84,0)</f>
        <v>17302816</v>
      </c>
      <c r="AB5" s="38">
        <f>Z5-AA5</f>
        <v>772154.73884418607</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226692</v>
      </c>
      <c r="S6" s="23" cm="1">
        <f t="array" ref="S6">_xlfn.BYROW(B50, _xlfn.LAMBDA(_xlpm.party, SUMIFS(ledger!G:G, ledger!B:B, _xlpm.party, ledger!E:E, "&lt;&gt;*RD*") / 1.0936 ))+_xlfn.IFNA(D85,0)</f>
        <v>207289.68544257499</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59144.111192392105</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709729.33430870529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2191185.0768105341</v>
      </c>
      <c r="AA6" s="23">
        <f>(SUMIF(Table14[Party],Q6,Table14[Credit]))+_xlfn.IFNA(L85,0)</f>
        <v>2359904</v>
      </c>
      <c r="AB6" s="38">
        <f>Z6-AA6</f>
        <v>-168718.92318946589</v>
      </c>
      <c r="AC6" s="22">
        <v>10</v>
      </c>
      <c r="AD6" s="22">
        <v>12</v>
      </c>
    </row>
    <row r="7" spans="2:30" x14ac:dyDescent="0.3">
      <c r="B7" t="str">
        <f t="shared" si="0"/>
        <v>Sajad Khan</v>
      </c>
      <c r="C7" s="18">
        <f>SUMIFS(ledger!G:G, ledger!B:B, B7, ledger!E:E, "&lt;&gt;*RD*") / 1.0936</f>
        <v>46940.380395025604</v>
      </c>
      <c r="D7">
        <v>10</v>
      </c>
      <c r="E7" s="14" cm="1">
        <f t="array" ref="E7">(SUMIFS(ledger!G:G, ledger!B:B, B7, ledger!E:E, "&lt;&gt;*RD*",ledger!D:D, "Silky") / 1.0936)*12 + (SUMIFS(ledger!G:G, ledger!B:B, B7, ledger!E:E, "&lt;&gt;*RD*",ledger!D:D, "Chamki") / 1.0936)*10 +(SUMIFS(ledger!G:G, ledger!B:B, party, ledger!E:E, "&lt;&gt;*RD*", ledger!D:D, "Crinkle")/ 1.0936)*10</f>
        <v>414511.70446232631</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10401.426481346014</v>
      </c>
      <c r="D9">
        <v>10</v>
      </c>
      <c r="E9" s="14">
        <f>(SUMIFS(ledger!G:G, ledger!B:B, B9, ledger!E:E, "&lt;&gt;*RD*",ledger!D:D, "Silky") / 1.0936)*12 + (SUMIFS(ledger!G:G, ledger!B:B, B9, ledger!E:E, "&lt;&gt;*RD*",ledger!D:D, "Chamki") / 1.0936)*10</f>
        <v>124817.11777615217</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532994</v>
      </c>
      <c r="S10" s="23" cm="1">
        <f t="array" ref="S10">_xlfn.BYROW(B54, _xlfn.LAMBDA(_xlpm.party, SUMIFS(ledger!G:G, ledger!B:B, _xlpm.party, ledger!E:E, "&lt;&gt;*RD*") / 1.0936 ))+_xlfn.IFNA(D89,0)</f>
        <v>487375.64008778345</v>
      </c>
      <c r="T10" s="23" cm="1">
        <f t="array" ref="T10">(_xlfn.BYROW(B54,_xlfn.LAMBDA(_xlpm.party,SUMIFS(ledger!G:G,ledger!B:B,_xlpm.party,ledger!E:E,"&lt;&gt;*RD*",ledger!D:D,"Chamki")+SUMIFS(ledger!G:G, ledger!B:B, _xlpm.party, ledger!E:E, "&lt;&gt;*RD*", ledger!D:D, "Crinkle")))/1.0936)+_xlfn.IFNA(E89,0)</f>
        <v>481886.43013899052</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4818864.3013899047</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4890224.0307242135</v>
      </c>
      <c r="AA10" s="23">
        <f>(SUMIF(Table14[Party],Q10,Table14[Credit]))+_xlfn.IFNA(L89,0)</f>
        <v>4817947</v>
      </c>
      <c r="AB10" s="38">
        <f t="shared" si="2"/>
        <v>72277.030724213459</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188329</v>
      </c>
      <c r="S12" s="23" cm="1">
        <f t="array" ref="S12">_xlfn.BYROW(B56, _xlfn.LAMBDA(_xlpm.party, SUMIFS(ledger!G:G, ledger!B:B, _xlpm.party, ledger!E:E, "&lt;&gt;*RD*") / 1.0936 ))+_xlfn.IFNA(D91,0)</f>
        <v>172210.13167520121</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10401.426481346014</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135218.54425749817</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1753305.5961960501</v>
      </c>
      <c r="AA12" s="23">
        <f>(SUMIF(Table14[Party],Q12,Table14[Credit]))+_xlfn.IFNA(L91,0)</f>
        <v>1617620</v>
      </c>
      <c r="AB12" s="38">
        <f t="shared" si="2"/>
        <v>135685.59619605006</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3"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3"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3"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10783474.762253109</v>
      </c>
      <c r="D21" t="s">
        <v>30</v>
      </c>
      <c r="Q21" s="124"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10783474.762253111</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300000</v>
      </c>
      <c r="AB23" s="38">
        <f t="shared" si="4"/>
        <v>272170.81199707394</v>
      </c>
      <c r="AC23" s="22">
        <v>10</v>
      </c>
      <c r="AD23" s="22">
        <v>13</v>
      </c>
    </row>
    <row r="24" spans="2:30" x14ac:dyDescent="0.3">
      <c r="Q24">
        <v>0</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8">_xlfn.UNIQUE(Table1[Party Name])</f>
        <v>BSC</v>
      </c>
      <c r="C49" s="23" cm="1">
        <f t="array" ref="C49:C68">_xlfn.BYROW(_xlfn.ANCHORARRAY(B49),_xlfn.LAMBDA(_xlpm.party,SUMIFS(ledger!G:G,ledger!B:B,_xlpm.party,ledger!E:E,"&lt;&gt;*RD*")))</f>
        <v>289132</v>
      </c>
      <c r="D49" s="23" cm="1">
        <f t="array" ref="D49:D68">_xlfn.BYROW(_xlfn.ANCHORARRAY(B49), _xlfn.LAMBDA(_xlpm.party, SUMIFS(ledger!G:G, ledger!B:B, _xlpm.party, ledger!E:E, "&lt;&gt;*RD*") / 1.0936 ))</f>
        <v>264385.51572787127</v>
      </c>
      <c r="E49" s="68" cm="1">
        <f t="array" ref="E49:E68">(_xlfn.BYROW(_xlfn.ANCHORARRAY(B49),_xlfn.LAMBDA(_xlpm.party,SUMIFS(ledger!G:G,ledger!B:B,_xlpm.party,ledger!E:E,"&lt;&gt;*RD*",ledger!D:D,"Chamki")+SUMIFS(ledger!G:G, ledger!B:B, _xlpm.party, ledger!E:E, "&lt;&gt;*RD*", ledger!D:D, "Crinkle")))/1.0936)</f>
        <v>199230.06583760059</v>
      </c>
      <c r="F49" s="68" cm="1">
        <f t="array" ref="F49:F68">(_xlfn.BYROW(_xlfn.ANCHORARRAY(B49),_xlfn.LAMBDA(_xlpm.party,SUMIFS(ledger!G:G,ledger!B:B,_xlpm.party,ledger!E:E,"&lt;&gt;*RD*",ledger!D:D,"Silky")))/1.0936)</f>
        <v>65155.449890270669</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788853.32845647412</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2781153.9868324799</v>
      </c>
      <c r="L49" s="23">
        <f>(SUMIF(Table14[Party],B49,Table14[Credit]))</f>
        <v>4448163</v>
      </c>
      <c r="M49" s="42">
        <f>K49-L49</f>
        <v>-1667009.0131675201</v>
      </c>
      <c r="N49" s="22">
        <v>10</v>
      </c>
      <c r="O49" s="22">
        <v>12</v>
      </c>
    </row>
    <row r="50" spans="1:26" x14ac:dyDescent="0.3">
      <c r="B50" s="25" t="str">
        <v>Ejaz Sahab</v>
      </c>
      <c r="C50" s="23">
        <v>67620</v>
      </c>
      <c r="D50" s="23">
        <v>61832.479882955384</v>
      </c>
      <c r="E50" s="68">
        <v>17585.954645208487</v>
      </c>
      <c r="F50" s="68">
        <v>44246.525237746893</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530958.30285296275</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706817.84930504765</v>
      </c>
      <c r="L50" s="23">
        <f>(SUMIF(Table14[Party],B50,Table14[Credit]))</f>
        <v>1500000</v>
      </c>
      <c r="M50" s="42">
        <f>K50-L50</f>
        <v>-793182.15069495235</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51334</v>
      </c>
      <c r="D54" s="23">
        <v>46940.380395025604</v>
      </c>
      <c r="E54" s="68">
        <v>41451.170446232631</v>
      </c>
      <c r="F54" s="68">
        <v>0</v>
      </c>
      <c r="G54" s="23" cm="1">
        <f t="array" ref="G54">(_xlfn.BYROW(B54,_xlfn.LAMBDA(_xlpm.party,
(SUMIFS(ledger!J:J,ledger!B:B,_xlpm.party,ledger!E:E,"&lt;&gt;*RD*",ledger!D:D,"Chamki",ledger!C:C,"&lt;&gt;September Closing CF")+
SUMIFS(ledger!J:J,ledger!B:B,_xlpm.party,ledger!E:E,"&lt;&gt;*RD*",ledger!D:D,"Crinkle",ledger!C:C,"&lt;&gt;September Closing CF")
))))</f>
        <v>414511.70446232631</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485871.43379663501</v>
      </c>
      <c r="L54" s="23">
        <f>(SUMIF(Table14[Party],B54,Table14[Credit]))</f>
        <v>1066681</v>
      </c>
      <c r="M54" s="42">
        <f t="shared" si="7"/>
        <v>-580809.56620336499</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11375</v>
      </c>
      <c r="D56" s="23">
        <v>10401.426481346014</v>
      </c>
      <c r="E56" s="68">
        <v>0</v>
      </c>
      <c r="F56" s="68">
        <v>10401.426481346014</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135218.54425749817</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135218.54425749817</v>
      </c>
      <c r="L56" s="23">
        <f>(SUMIF(Table14[Party],B56,Table14[Credit]))</f>
        <v>0</v>
      </c>
      <c r="M56" s="42">
        <f t="shared" ref="M56:M69" si="8">K56-L56</f>
        <v>135218.54425749817</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264385.51572787127</v>
      </c>
      <c r="Z57" s="18">
        <v>2774166.057059254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61832.479882955384</v>
      </c>
      <c r="Z58" s="18">
        <v>706817.84930504765</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46940.380395025604</v>
      </c>
      <c r="Z62" s="18">
        <v>414511.70446232631</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10401.426481346014</v>
      </c>
      <c r="Z64" s="18">
        <v>124817.11777615217</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300000</v>
      </c>
      <c r="M67" s="42">
        <f t="shared" si="8"/>
        <v>272170.81199707394</v>
      </c>
      <c r="N67" s="22">
        <v>10</v>
      </c>
      <c r="O67" s="22">
        <v>12</v>
      </c>
      <c r="X67" s="4" t="s">
        <v>27</v>
      </c>
      <c r="Y67" s="5">
        <v>49517.190929041702</v>
      </c>
      <c r="Z67" s="18">
        <v>495171.90929041704</v>
      </c>
    </row>
    <row r="68" spans="2:26" x14ac:dyDescent="0.3">
      <c r="B68">
        <v>0</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867297.00073152897</v>
      </c>
      <c r="Z74" s="14">
        <v>9103986.832479883</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row r="103" spans="2:15" x14ac:dyDescent="0.3">
      <c r="B103">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4" zoomScale="105" workbookViewId="0">
      <selection activeCell="D11" sqref="D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3">_xlfn.UNIQUE(Table1[Party Name])</f>
        <v>BSC</v>
      </c>
    </row>
    <row r="5" spans="2:10" x14ac:dyDescent="0.3">
      <c r="J5" t="str">
        <v>Ejaz Sahab</v>
      </c>
    </row>
    <row r="6" spans="2:10" ht="21" x14ac:dyDescent="0.4">
      <c r="B6" s="69" t="s">
        <v>227</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82290</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75246.891002194592</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64300.475493782011</v>
      </c>
      <c r="E12" s="97">
        <f ca="1">Table21[[#This Row],[gazana]]*Table21[[#This Row],[Rate]]</f>
        <v>643004.75493782014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7565.8376005852242</v>
      </c>
      <c r="E14" s="71">
        <f ca="1">Table21[[#This Row],[gazana]]*Table21[[#This Row],[Rate]]</f>
        <v>90790.051207022683</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733794.80614484288</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835660</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99" cm="1">
        <f t="array" aca="1" ref="E20" ca="1">_xlfn.XLOOKUP($B$6,_xlfn.ANCHORARRAY( Billing!Q5), OFFSET(Billing!AB5, 0, 0, ROWS(_xlfn.ANCHORARRAY(Billing!Q5))), "Not Found")</f>
        <v>356.82516459410544</v>
      </c>
      <c r="J20" t="str">
        <v>Faizan</v>
      </c>
    </row>
    <row r="21" spans="2:10" x14ac:dyDescent="0.3">
      <c r="J21" t="str">
        <v>Shafique Ansari</v>
      </c>
    </row>
    <row r="22" spans="2:10" x14ac:dyDescent="0.3">
      <c r="J22" t="str">
        <v>Amjad sohail</v>
      </c>
    </row>
    <row r="23" spans="2:10" x14ac:dyDescent="0.3">
      <c r="J23">
        <v>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5676795</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18830</v>
      </c>
    </row>
    <row r="8" spans="1:4" x14ac:dyDescent="0.3">
      <c r="B8" t="s">
        <v>51</v>
      </c>
      <c r="C8" s="11">
        <f>Electricity!E3</f>
        <v>0</v>
      </c>
    </row>
    <row r="9" spans="1:4" x14ac:dyDescent="0.3">
      <c r="B9" t="s">
        <v>52</v>
      </c>
      <c r="C9" s="11">
        <f>Table11[[#Totals],[Amount]]+'Salary Acc'!I36</f>
        <v>35250</v>
      </c>
    </row>
    <row r="10" spans="1:4" x14ac:dyDescent="0.3">
      <c r="B10" t="s">
        <v>53</v>
      </c>
      <c r="C10" s="11">
        <f>Table5[[#Totals],[Amount]]</f>
        <v>93055</v>
      </c>
    </row>
    <row r="11" spans="1:4" x14ac:dyDescent="0.3">
      <c r="B11" t="s">
        <v>54</v>
      </c>
      <c r="C11" s="11">
        <f>Table13[[#Totals],[Debit]]</f>
        <v>63740</v>
      </c>
    </row>
    <row r="12" spans="1:4" x14ac:dyDescent="0.3">
      <c r="B12" t="s">
        <v>55</v>
      </c>
      <c r="C12" s="11">
        <f>Table15[[#Totals],[Amount]]</f>
        <v>302935</v>
      </c>
    </row>
    <row r="13" spans="1:4" x14ac:dyDescent="0.3">
      <c r="C13" s="11"/>
    </row>
    <row r="14" spans="1:4" x14ac:dyDescent="0.3">
      <c r="C14" s="14">
        <f>SUM(Table12[Amount])</f>
        <v>7531021.666666667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7"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10783474.762253111</v>
      </c>
    </row>
    <row r="4" spans="1:3" x14ac:dyDescent="0.3">
      <c r="B4" s="11" t="s">
        <v>44</v>
      </c>
      <c r="C4" s="11">
        <f>Table12[[#Totals],[Amount]]</f>
        <v>7531021.666666667</v>
      </c>
    </row>
    <row r="5" spans="1:3" x14ac:dyDescent="0.3">
      <c r="A5" s="6"/>
      <c r="B5" s="15" t="s">
        <v>68</v>
      </c>
      <c r="C5" s="15">
        <f>C3-C4</f>
        <v>3252453.0955864443</v>
      </c>
    </row>
    <row r="10" spans="1:3" ht="15" thickBot="1" x14ac:dyDescent="0.35">
      <c r="B10" t="s">
        <v>66</v>
      </c>
      <c r="C10" s="14" t="s">
        <v>67</v>
      </c>
    </row>
    <row r="11" spans="1:3" x14ac:dyDescent="0.3">
      <c r="B11" s="61" t="s">
        <v>0</v>
      </c>
      <c r="C11" s="62">
        <f>C3</f>
        <v>10783474.762253111</v>
      </c>
    </row>
    <row r="12" spans="1:3" x14ac:dyDescent="0.3">
      <c r="B12" s="63" t="s">
        <v>69</v>
      </c>
      <c r="C12" s="64">
        <f>SUM(Table14[Credit])</f>
        <v>16311397</v>
      </c>
    </row>
    <row r="13" spans="1:3" ht="15" thickBot="1" x14ac:dyDescent="0.35">
      <c r="B13" s="79" t="s">
        <v>96</v>
      </c>
      <c r="C13" s="78">
        <f>(C11-C12)</f>
        <v>-5527922.2377468888</v>
      </c>
    </row>
    <row r="14" spans="1:3" ht="15" thickBot="1" x14ac:dyDescent="0.35">
      <c r="B14" s="63"/>
      <c r="C14" s="64"/>
    </row>
    <row r="15" spans="1:3" x14ac:dyDescent="0.3">
      <c r="B15" s="61" t="s">
        <v>44</v>
      </c>
      <c r="C15" s="62">
        <f>C4</f>
        <v>7531021.666666667</v>
      </c>
    </row>
    <row r="16" spans="1:3" x14ac:dyDescent="0.3">
      <c r="B16" s="63" t="s">
        <v>70</v>
      </c>
      <c r="C16" s="64">
        <f>SUM(Table14[Debit])</f>
        <v>15208107</v>
      </c>
    </row>
    <row r="17" spans="2:6" ht="15" thickBot="1" x14ac:dyDescent="0.35">
      <c r="B17" s="79" t="s">
        <v>71</v>
      </c>
      <c r="C17" s="78">
        <f>C15-C16</f>
        <v>-7677085.333333333</v>
      </c>
    </row>
    <row r="18" spans="2:6" ht="15" thickBot="1" x14ac:dyDescent="0.35">
      <c r="B18" s="63"/>
      <c r="C18" s="64"/>
    </row>
    <row r="19" spans="2:6" ht="15" thickBot="1" x14ac:dyDescent="0.35">
      <c r="B19" s="80" t="s">
        <v>72</v>
      </c>
      <c r="C19" s="81">
        <f>Table18[[#Totals],[amount]]</f>
        <v>1103290</v>
      </c>
    </row>
    <row r="20" spans="2:6" ht="15" thickBot="1" x14ac:dyDescent="0.35">
      <c r="B20" s="76"/>
      <c r="C20" s="77"/>
    </row>
    <row r="21" spans="2:6" ht="15" thickBot="1" x14ac:dyDescent="0.35">
      <c r="B21" s="65" t="s">
        <v>73</v>
      </c>
      <c r="C21" s="66">
        <f>(C13-C17)+C19</f>
        <v>3252453.0955864443</v>
      </c>
      <c r="E21" s="84" t="s">
        <v>74</v>
      </c>
      <c r="F21" s="85">
        <f>C5*0.05</f>
        <v>162622.65477932221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0</v>
      </c>
      <c r="E24">
        <f>SUMIFS(Table14[Credit], Table14[Date], Table13[[#This Row],[Date]], Table14[Party], "Transport")</f>
        <v>0</v>
      </c>
    </row>
    <row r="25" spans="2:5" x14ac:dyDescent="0.3">
      <c r="B25" s="1">
        <v>45968</v>
      </c>
      <c r="D25">
        <f>SUMIFS(Table14[Debit], Table14[Date], Table13[[#This Row],[Date]], Table14[Party], "Transport")</f>
        <v>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63740</v>
      </c>
      <c r="E35">
        <f>SUBTOTAL(109,Table13[Credit])</f>
        <v>0</v>
      </c>
      <c r="F35">
        <f>Table13[[#Totals],[Debit]]-Table13[[#Totals],[Credit]]</f>
        <v>63740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8"/>
  <sheetViews>
    <sheetView tabSelected="1" topLeftCell="A89" zoomScale="103" zoomScaleNormal="126" workbookViewId="0">
      <selection activeCell="E101" sqref="E10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100">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6"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7">
        <v>45947</v>
      </c>
      <c r="B18" s="25" t="s">
        <v>21</v>
      </c>
      <c r="C18" s="108" t="s">
        <v>184</v>
      </c>
      <c r="D18" s="108" t="s">
        <v>87</v>
      </c>
      <c r="E18" s="109"/>
      <c r="F18" s="109"/>
      <c r="G18" s="109"/>
      <c r="H18" s="110" t="e">
        <f>_xlfn.XLOOKUP(Table1[[#This Row],[Shipment Number]], 'pivot '!A:A,'pivot '!G:G, "NF")</f>
        <v>#DIV/0!</v>
      </c>
      <c r="I18" s="110">
        <f>_xlfn.XLOOKUP(Table1[[#This Row],[Party Name]],
[1]Billing!$O$5:$O$20,
[1]Billing!$S$5:$S$20)</f>
        <v>30188.368690563279</v>
      </c>
      <c r="J18" s="110"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8"/>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1">
        <v>45947</v>
      </c>
      <c r="B33" s="25" t="s">
        <v>183</v>
      </c>
      <c r="C33" s="112" t="s">
        <v>184</v>
      </c>
      <c r="D33" s="112" t="s">
        <v>87</v>
      </c>
      <c r="E33" s="113"/>
      <c r="F33" s="113"/>
      <c r="G33" s="113"/>
      <c r="H33" s="114" t="e">
        <f>_xlfn.XLOOKUP(Table1[[#This Row],[Shipment Number]], 'pivot '!A:A,'pivot '!G:G, "NF")</f>
        <v>#DIV/0!</v>
      </c>
      <c r="I33" s="114">
        <f>_xlfn.XLOOKUP(Table1[[#This Row],[Party Name]],
[1]Billing!$O$5:$O$20,
[1]Billing!$S$5:$S$20)</f>
        <v>0</v>
      </c>
      <c r="J33" s="114"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2"/>
      <c r="P33"/>
      <c r="Q33"/>
      <c r="R33"/>
      <c r="S33"/>
      <c r="T33"/>
      <c r="U33"/>
      <c r="V33"/>
      <c r="W33"/>
      <c r="X33"/>
      <c r="Y33"/>
    </row>
    <row r="34" spans="1:25" x14ac:dyDescent="0.3">
      <c r="A34" s="119">
        <v>45948</v>
      </c>
      <c r="B34" s="122" t="s">
        <v>21</v>
      </c>
      <c r="C34" s="120">
        <v>985</v>
      </c>
      <c r="D34" s="120" t="s">
        <v>87</v>
      </c>
      <c r="E34" s="117">
        <v>1818</v>
      </c>
      <c r="F34" s="117">
        <v>15182</v>
      </c>
      <c r="G34" s="117">
        <v>3532</v>
      </c>
      <c r="H34" s="121">
        <f>_xlfn.XLOOKUP(Table1[[#This Row],[Shipment Number]], 'pivot '!A:A,'pivot '!G:G, "NF")</f>
        <v>52.490614487163164</v>
      </c>
      <c r="I34" s="121">
        <f>Table1[[#This Row],[Tiyaar/gaz]]/1.0936</f>
        <v>3229.7000731528897</v>
      </c>
      <c r="J34" s="121"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20"/>
      <c r="P34"/>
      <c r="Q34"/>
      <c r="R34"/>
      <c r="S34"/>
      <c r="T34"/>
      <c r="U34"/>
      <c r="V34"/>
      <c r="W34"/>
      <c r="X34"/>
      <c r="Y34"/>
    </row>
    <row r="35" spans="1:25" x14ac:dyDescent="0.3">
      <c r="A35" s="119">
        <v>45948</v>
      </c>
      <c r="B35" s="29" t="s">
        <v>21</v>
      </c>
      <c r="C35" s="29">
        <v>986</v>
      </c>
      <c r="D35" s="29" t="s">
        <v>87</v>
      </c>
      <c r="E35" s="11">
        <v>1818</v>
      </c>
      <c r="F35" s="11">
        <v>15182</v>
      </c>
      <c r="G35" s="11">
        <v>4356</v>
      </c>
      <c r="H35" s="32">
        <f>_xlfn.XLOOKUP(Table1[[#This Row],[Shipment Number]], 'pivot '!A:A,'pivot '!G:G, "NF")</f>
        <v>52.490614487163164</v>
      </c>
      <c r="I35" s="121">
        <f>Table1[[#This Row],[Tiyaar/gaz]]/1.0936</f>
        <v>3983.1748354059987</v>
      </c>
      <c r="J35" s="121"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9">
        <v>45948</v>
      </c>
      <c r="B36" s="29" t="s">
        <v>21</v>
      </c>
      <c r="C36" s="29">
        <v>987</v>
      </c>
      <c r="D36" s="29" t="s">
        <v>87</v>
      </c>
      <c r="E36" s="11">
        <v>1780</v>
      </c>
      <c r="F36" s="11">
        <v>10086</v>
      </c>
      <c r="G36" s="11">
        <v>7867</v>
      </c>
      <c r="H36" s="32">
        <f>_xlfn.XLOOKUP(Table1[[#This Row],[Shipment Number]], 'pivot '!A:A,'pivot '!G:G, "NF")</f>
        <v>0.46282294143081515</v>
      </c>
      <c r="I36" s="121">
        <f>Table1[[#This Row],[Tiyaar/gaz]]/1.0936</f>
        <v>7193.6722750548652</v>
      </c>
      <c r="J36" s="121"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9">
        <v>45948</v>
      </c>
      <c r="B37" s="29" t="s">
        <v>21</v>
      </c>
      <c r="C37" s="29">
        <v>988</v>
      </c>
      <c r="D37" s="29" t="s">
        <v>87</v>
      </c>
      <c r="E37" s="11">
        <v>1780</v>
      </c>
      <c r="F37" s="11">
        <v>10086</v>
      </c>
      <c r="G37" s="11">
        <v>3112</v>
      </c>
      <c r="H37" s="32">
        <f>_xlfn.XLOOKUP(Table1[[#This Row],[Shipment Number]], 'pivot '!A:A,'pivot '!G:G, "NF")</f>
        <v>0.46282294143081515</v>
      </c>
      <c r="I37" s="121">
        <f>Table1[[#This Row],[Tiyaar/gaz]]/1.0936</f>
        <v>2845.6474030724216</v>
      </c>
      <c r="J37" s="121"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9">
        <v>45948</v>
      </c>
      <c r="B38" s="29" t="s">
        <v>198</v>
      </c>
      <c r="C38" s="29">
        <v>989</v>
      </c>
      <c r="D38" s="29" t="s">
        <v>87</v>
      </c>
      <c r="E38" s="11">
        <v>1800</v>
      </c>
      <c r="F38" s="11">
        <v>32917</v>
      </c>
      <c r="G38" s="11">
        <v>34960</v>
      </c>
      <c r="H38" s="32">
        <f>_xlfn.XLOOKUP(Table1[[#This Row],[Shipment Number]], 'pivot '!A:A,'pivot '!G:G, "NF")</f>
        <v>2.8835776996604068</v>
      </c>
      <c r="I38" s="121">
        <f>Table1[[#This Row],[Tiyaar/gaz]]/1.0936</f>
        <v>31967.812728602781</v>
      </c>
      <c r="J38" s="121"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9">
        <v>45948</v>
      </c>
      <c r="B39" s="29" t="s">
        <v>21</v>
      </c>
      <c r="C39" s="29">
        <v>990</v>
      </c>
      <c r="D39" s="29" t="s">
        <v>87</v>
      </c>
      <c r="E39" s="11">
        <v>1826</v>
      </c>
      <c r="F39" s="11">
        <v>22518</v>
      </c>
      <c r="G39" s="11">
        <v>3397</v>
      </c>
      <c r="H39" s="32">
        <f>_xlfn.XLOOKUP(Table1[[#This Row],[Shipment Number]], 'pivot '!A:A,'pivot '!G:G, "NF")</f>
        <v>4.5102697001952947</v>
      </c>
      <c r="I39" s="121">
        <f>Table1[[#This Row],[Tiyaar/gaz]]/1.0936</f>
        <v>3106.2545720555963</v>
      </c>
      <c r="J39" s="121"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1">
        <f>Table1[[#This Row],[Tiyaar/gaz]]/1.0936</f>
        <v>18396.122896854427</v>
      </c>
      <c r="J40" s="121"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1">
        <f>Table1[[#This Row],[Tiyaar/gaz]]/1.0936</f>
        <v>19710.131675201173</v>
      </c>
      <c r="J41" s="121"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1">
        <f>Table1[[#This Row],[Tiyaar/gaz]]/1.0936</f>
        <v>1429.2245793708853</v>
      </c>
      <c r="J42" s="121"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1">
        <f>Table1[[#This Row],[Tiyaar/gaz]]/1.0936</f>
        <v>7565.8376005852242</v>
      </c>
      <c r="J43" s="121"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1">
        <f>Table1[[#This Row],[Tiyaar/gaz]]/1.0936</f>
        <v>17983.723482077545</v>
      </c>
      <c r="J44" s="121"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1">
        <f>Table1[[#This Row],[Tiyaar/gaz]]/1.0936</f>
        <v>16065.288953913681</v>
      </c>
      <c r="J45" s="121"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1">
        <f>Table1[[#This Row],[Tiyaar/gaz]]/1.0936</f>
        <v>8471.1046086320421</v>
      </c>
      <c r="J46" s="121"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1">
        <f>Table1[[#This Row],[Tiyaar/gaz]]/1.0936</f>
        <v>34765.910753474767</v>
      </c>
      <c r="J47" s="121"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1">
        <f>Table1[[#This Row],[Tiyaar/gaz]]/1.0936</f>
        <v>34152.340892465254</v>
      </c>
      <c r="J48" s="121"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1">
        <f>Table1[[#This Row],[Tiyaar/gaz]]/1.0936</f>
        <v>1519.751280175567</v>
      </c>
      <c r="J49" s="121"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1">
        <f>Table1[[#This Row],[Tiyaar/gaz]]/1.0936</f>
        <v>41451.170446232631</v>
      </c>
      <c r="J50" s="121"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1">
        <f>Table1[[#This Row],[Tiyaar/gaz]]/1.0936</f>
        <v>9284.0160936356988</v>
      </c>
      <c r="J51" s="121"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1">
        <f>Table1[[#This Row],[Tiyaar/gaz]]/1.0936</f>
        <v>29017.008046817853</v>
      </c>
      <c r="J52" s="121"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1">
        <f>Table1[[#This Row],[Tiyaar/gaz]]/1.0936</f>
        <v>2950.8046817849308</v>
      </c>
      <c r="J53" s="121"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1">
        <f>Table1[[#This Row],[Tiyaar/gaz]]/1.0936</f>
        <v>6516.0936356986103</v>
      </c>
      <c r="J54" s="121"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1">
        <f>Table1[[#This Row],[Tiyaar/gaz]]/1.0936</f>
        <v>2011.704462326262</v>
      </c>
      <c r="J55" s="121"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1">
        <f>Table1[[#This Row],[Tiyaar/gaz]]/1.0936</f>
        <v>2168.9831748354063</v>
      </c>
      <c r="J56" s="121"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1">
        <f>Table1[[#This Row],[Tiyaar/gaz]]/1.0936</f>
        <v>9286.7593269934168</v>
      </c>
      <c r="J57" s="121"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1">
        <f>Table1[[#This Row],[Tiyaar/gaz]]/1.0936</f>
        <v>24771.3972201902</v>
      </c>
      <c r="J58" s="121"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1">
        <f>Table1[[#This Row],[Tiyaar/gaz]]/1.0936</f>
        <v>9953.3650329188004</v>
      </c>
      <c r="J59" s="121"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1">
        <f>Table1[[#This Row],[Tiyaar/gaz]]/1.0936</f>
        <v>14285.844915874179</v>
      </c>
      <c r="J60" s="121"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1">
        <f>Table1[[#This Row],[Tiyaar/gaz]]/1.0936</f>
        <v>14573.884418434529</v>
      </c>
      <c r="J61" s="121"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1">
        <f>Table1[[#This Row],[Tiyaar/gaz]]/1.0936</f>
        <v>3434.5281638624729</v>
      </c>
      <c r="J62" s="121"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1">
        <f>Table1[[#This Row],[Tiyaar/gaz]]/1.0936</f>
        <v>4529.0782735918074</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1">
        <f>Table1[[#This Row],[Tiyaar/gaz]]/1.0936</f>
        <v>36045.171909290417</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1">
        <f>Table1[[#This Row],[Tiyaar/gaz]]/1.0936</f>
        <v>765.36210680321881</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1">
        <f>Table1[[#This Row],[Tiyaar/gaz]]/1.0936</f>
        <v>4892.0994879297732</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1">
        <f>Table1[[#This Row],[Tiyaar/gaz]]/1.0936</f>
        <v>2970.007315288954</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1">
        <f>Table1[[#This Row],[Tiyaar/gaz]]/1.0936</f>
        <v>4723.8478419897592</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1">
        <f>Table1[[#This Row],[Tiyaar/gaz]]/1.0936</f>
        <v>32993.782004389177</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1">
        <f>Table1[[#This Row],[Tiyaar/gaz]]/1.0936</f>
        <v>4006.9495245062185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1">
        <f>Table1[[#This Row],[Tiyaar/gaz]]/1.0936</f>
        <v>41898.317483540603</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1">
        <f>Table1[[#This Row],[Tiyaar/gaz]]/1.0936</f>
        <v>3380.5779078273595</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1">
        <f>Table1[[#This Row],[Tiyaar/gaz]]/1.0936</f>
        <v>42732.26042428676</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1">
        <f>Table1[[#This Row],[Tiyaar/gaz]]/1.0936</f>
        <v>3611.9239209948796</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1">
        <f>Table1[[#This Row],[Tiyaar/gaz]]/1.0936</f>
        <v>21568.215069495247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1">
        <f>Table1[[#This Row],[Tiyaar/gaz]]/1.0936</f>
        <v>15719.641550841259</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1">
        <f>Table1[[#This Row],[Tiyaar/gaz]]/1.0936</f>
        <v>33535.113386978788</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1">
        <f>Table1[[#This Row],[Tiyaar/gaz]]/1.0936</f>
        <v>1004.0234089246526</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1">
        <f>Table1[[#This Row],[Tiyaar/gaz]]/1.0936</f>
        <v>5065.8376005852233</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1">
        <f>Table1[[#This Row],[Tiyaar/gaz]]/1.0936</f>
        <v>45320.043891733731</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1">
        <f>Table1[[#This Row],[Tiyaar/gaz]]/1.0936</f>
        <v>21810.534016093639</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1">
        <f>Table1[[#This Row],[Tiyaar/gaz]]/1.0936</f>
        <v>8978.6027798098039</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1">
        <f>Table1[[#This Row],[Tiyaar/gaz]]/1.0936</f>
        <v>17585.954645208487</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1">
        <f>Table1[[#This Row],[Tiyaar/gaz]]/1.0936</f>
        <v>27943.489392831019</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21">
        <f>Table1[[#This Row],[Tiyaar/gaz]]/1.0936</f>
        <v>30104.242867593272</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1">
        <f>Table1[[#This Row],[Tiyaar/gaz]]/1.0936</f>
        <v>23186.722750548648</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1">
        <f>Table1[[#This Row],[Tiyaar/gaz]]/1.0936</f>
        <v>14441.294806144844</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1">
        <f>Table1[[#This Row],[Tiyaar/gaz]]/1.0936</f>
        <v>24300.475493782007</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1">
        <f>Table1[[#This Row],[Tiyaar/gaz]]/1.0936</f>
        <v>5630.9436722750552</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1">
        <f>Table1[[#This Row],[Tiyaar/gaz]]/1.0936</f>
        <v>12856.620336503292</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1">
        <f>Table1[[#This Row],[Tiyaar/gaz]]/1.0936</f>
        <v>2190.0146305779081</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1">
        <f>Table1[[#This Row],[Tiyaar/gaz]]/1.0936</f>
        <v>3154.7183613752745</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1">
        <f>Table1[[#This Row],[Tiyaar/gaz]]/1.0936</f>
        <v>44091.075347476231</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21">
        <f>Table1[[#This Row],[Tiyaar/gaz]]/1.0936</f>
        <v>25971.104608632042</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21">
        <f>Table1[[#This Row],[Tiyaar/gaz]]/1.0936</f>
        <v>7767.0080468178503</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21">
        <f>Table1[[#This Row],[Tiyaar/gaz]]/1.0936</f>
        <v>14148.683247988296</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21">
        <f>Table1[[#This Row],[Tiyaar/gaz]]/1.0936</f>
        <v>3083.394294074616</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0</v>
      </c>
      <c r="H98" s="32">
        <f>_xlfn.XLOOKUP(Table1[[#This Row],[Shipment Number]], 'pivot '!A:A,'pivot '!G:G, "NF")</f>
        <v>100</v>
      </c>
      <c r="I98" s="121">
        <f>Table1[[#This Row],[Tiyaar/gaz]]/1.0936</f>
        <v>0</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0</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21">
        <f>Table1[[#This Row],[Tiyaar/gaz]]/1.0936</f>
        <v>10401.426481346014</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21">
        <f>Table1[[#This Row],[Tiyaar/gaz]]/1.0936</f>
        <v>10900.694952450624</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21">
        <f>Table1[[#This Row],[Tiyaar/gaz]]/1.0936</f>
        <v>3904.5354791514269</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45966</v>
      </c>
      <c r="B102" s="29"/>
      <c r="C102" s="29"/>
      <c r="D102" s="29"/>
      <c r="E102" s="11"/>
      <c r="F102" s="11"/>
      <c r="G102" s="11"/>
      <c r="H102" s="32" t="e">
        <f>_xlfn.XLOOKUP(Table1[[#This Row],[Shipment Number]], 'pivot '!A:A,'pivot '!G:G, "NF")</f>
        <v>#DIV/0!</v>
      </c>
      <c r="I102" s="32"/>
      <c r="J102" s="32"/>
      <c r="K102" s="29"/>
      <c r="M102"/>
      <c r="P102"/>
      <c r="Q102"/>
      <c r="R102"/>
    </row>
    <row r="103" spans="1:18" x14ac:dyDescent="0.3">
      <c r="A103" s="28">
        <v>45966</v>
      </c>
      <c r="B103" s="29"/>
      <c r="C103" s="29"/>
      <c r="D103" s="29"/>
      <c r="E103" s="11"/>
      <c r="F103" s="11"/>
      <c r="G103" s="11"/>
      <c r="H103" s="32" t="e">
        <f>_xlfn.XLOOKUP(Table1[[#This Row],[Shipment Number]], 'pivot '!A:A,'pivot '!G:G, "NF")</f>
        <v>#DIV/0!</v>
      </c>
      <c r="I103" s="32"/>
      <c r="J103" s="32"/>
      <c r="K103" s="29"/>
      <c r="M103"/>
      <c r="P103"/>
      <c r="Q103"/>
      <c r="R103"/>
    </row>
    <row r="104" spans="1:18" x14ac:dyDescent="0.3">
      <c r="A104"/>
      <c r="B104"/>
      <c r="C104"/>
      <c r="D104"/>
      <c r="E104" s="14"/>
      <c r="F104" s="14"/>
      <c r="G104" s="14"/>
      <c r="H104" s="48"/>
      <c r="I104" s="103" cm="1">
        <f t="array" aca="1" ref="I104" ca="1">SUMPRODUCT( SUBTOTAL(109, OFFSET(Table1[tiyar/meters], ROW(Table1[tiyar/meters])-MIN(ROW(Table1[tiyar/meters])), 0, 1)), --(Table1[Bill Number]&lt;&gt;"September Closing CF") )</f>
        <v>999305.04754937824</v>
      </c>
      <c r="J104" s="48" cm="1">
        <f t="array" aca="1" ref="J104" ca="1">SUMPRODUCT( SUBTOTAL(109, OFFSET(Table1[billing], ROW(Table1[billing])-MIN(ROW(Table1[billing])), 0, 1)), --(Table1[Bill Number]&lt;&gt;"September Closing CF") )</f>
        <v>10783474.762253111</v>
      </c>
      <c r="K104" s="14">
        <f>SUMIFS(Table1[billing], Table1[Bill Number], "&lt;&gt;September Closing CF")</f>
        <v>10783474.762253111</v>
      </c>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D121"/>
      <c r="E121"/>
      <c r="F121"/>
      <c r="G121"/>
      <c r="P121"/>
      <c r="Q121"/>
    </row>
    <row r="122" spans="4:17" x14ac:dyDescent="0.3">
      <c r="D122"/>
      <c r="E122"/>
      <c r="F122"/>
      <c r="G122"/>
      <c r="P122"/>
      <c r="Q122"/>
    </row>
    <row r="123" spans="4:17" x14ac:dyDescent="0.3">
      <c r="D123"/>
      <c r="E123"/>
      <c r="F123"/>
      <c r="G123"/>
      <c r="P123"/>
      <c r="Q123"/>
    </row>
    <row r="124" spans="4:17" x14ac:dyDescent="0.3">
      <c r="P124"/>
      <c r="Q124"/>
    </row>
    <row r="125" spans="4:17" x14ac:dyDescent="0.3">
      <c r="D125" s="3" t="s">
        <v>2</v>
      </c>
      <c r="E125" t="s">
        <v>88</v>
      </c>
      <c r="P125"/>
      <c r="Q125"/>
    </row>
    <row r="126" spans="4:17" x14ac:dyDescent="0.3">
      <c r="D126" s="3" t="s">
        <v>75</v>
      </c>
      <c r="E126" t="s">
        <v>88</v>
      </c>
      <c r="P126"/>
      <c r="Q126"/>
    </row>
    <row r="127" spans="4:17" x14ac:dyDescent="0.3">
      <c r="D127" s="3" t="s">
        <v>79</v>
      </c>
      <c r="E127" t="s">
        <v>88</v>
      </c>
      <c r="P127"/>
      <c r="Q127"/>
    </row>
    <row r="128" spans="4:17" x14ac:dyDescent="0.3">
      <c r="P128"/>
      <c r="Q128"/>
    </row>
    <row r="129" spans="4:17" x14ac:dyDescent="0.3">
      <c r="D129" s="3" t="s">
        <v>6</v>
      </c>
      <c r="E129" t="s">
        <v>89</v>
      </c>
      <c r="F129" t="s">
        <v>90</v>
      </c>
      <c r="G129" t="s">
        <v>91</v>
      </c>
      <c r="I129" s="3" t="s">
        <v>6</v>
      </c>
      <c r="J129" t="s">
        <v>90</v>
      </c>
      <c r="K129" t="s">
        <v>91</v>
      </c>
      <c r="P129"/>
      <c r="Q129"/>
    </row>
    <row r="130" spans="4:17" x14ac:dyDescent="0.3">
      <c r="D130" s="16" t="s">
        <v>184</v>
      </c>
      <c r="E130"/>
      <c r="F130" s="33">
        <v>4247868.5076810541</v>
      </c>
      <c r="G130">
        <v>43223034.582516462</v>
      </c>
      <c r="I130" s="27">
        <v>45947</v>
      </c>
      <c r="J130" s="48">
        <v>4247868.5076810541</v>
      </c>
      <c r="K130" s="14">
        <v>43223034.582516462</v>
      </c>
      <c r="P130"/>
      <c r="Q130"/>
    </row>
    <row r="131" spans="4:17" x14ac:dyDescent="0.3">
      <c r="D131" s="16">
        <v>985</v>
      </c>
      <c r="E131">
        <v>3532</v>
      </c>
      <c r="F131" s="33">
        <v>3229.7000731528897</v>
      </c>
      <c r="G131">
        <v>38756.400877834676</v>
      </c>
      <c r="I131" s="27">
        <v>45948</v>
      </c>
      <c r="J131" s="48">
        <v>52326.261887344546</v>
      </c>
      <c r="K131" s="14">
        <v>659882.95537673729</v>
      </c>
      <c r="O131"/>
      <c r="P131"/>
      <c r="Q131"/>
    </row>
    <row r="132" spans="4:17" x14ac:dyDescent="0.3">
      <c r="D132" s="16">
        <v>986</v>
      </c>
      <c r="E132">
        <v>4356</v>
      </c>
      <c r="F132" s="33">
        <v>3983.1748354059987</v>
      </c>
      <c r="G132">
        <v>47798.098024871986</v>
      </c>
      <c r="I132" s="27">
        <v>45950</v>
      </c>
      <c r="J132" s="48">
        <v>47101.316752011713</v>
      </c>
      <c r="K132" s="14">
        <v>572781.63862472575</v>
      </c>
      <c r="L132"/>
      <c r="M132"/>
      <c r="N132"/>
    </row>
    <row r="133" spans="4:17" x14ac:dyDescent="0.3">
      <c r="D133" s="16">
        <v>987</v>
      </c>
      <c r="E133">
        <v>7867</v>
      </c>
      <c r="F133" s="33">
        <v>7193.6722750548652</v>
      </c>
      <c r="G133">
        <v>86324.067300658382</v>
      </c>
      <c r="I133" s="27">
        <v>45951</v>
      </c>
      <c r="J133" s="48">
        <v>77286.027798098046</v>
      </c>
      <c r="K133" s="14">
        <v>857900.51207022695</v>
      </c>
    </row>
    <row r="134" spans="4:17" x14ac:dyDescent="0.3">
      <c r="D134" s="16">
        <v>988</v>
      </c>
      <c r="E134">
        <v>3112</v>
      </c>
      <c r="F134" s="33">
        <v>2845.6474030724216</v>
      </c>
      <c r="G134">
        <v>34147.768836869058</v>
      </c>
      <c r="I134" s="27">
        <v>45952</v>
      </c>
      <c r="J134" s="48">
        <v>77123.262618873443</v>
      </c>
      <c r="K134" s="14">
        <v>775791.88002926123</v>
      </c>
    </row>
    <row r="135" spans="4:17" x14ac:dyDescent="0.3">
      <c r="D135" s="16">
        <v>989</v>
      </c>
      <c r="E135">
        <v>34960</v>
      </c>
      <c r="F135" s="33">
        <v>31967.812728602781</v>
      </c>
      <c r="G135">
        <v>415581.56547183613</v>
      </c>
      <c r="I135" s="27">
        <v>45953</v>
      </c>
      <c r="J135" s="48">
        <v>41251.82882223848</v>
      </c>
      <c r="K135" s="14">
        <v>412518.28822238487</v>
      </c>
    </row>
    <row r="136" spans="4:17" x14ac:dyDescent="0.3">
      <c r="D136" s="16">
        <v>990</v>
      </c>
      <c r="E136">
        <v>3397</v>
      </c>
      <c r="F136" s="33">
        <v>3106.2545720555963</v>
      </c>
      <c r="G136">
        <v>37275.054864667152</v>
      </c>
      <c r="I136" s="27">
        <v>45954</v>
      </c>
      <c r="J136" s="48">
        <v>44754.937820043895</v>
      </c>
      <c r="K136" s="14">
        <v>447549.37820043892</v>
      </c>
    </row>
    <row r="137" spans="4:17" x14ac:dyDescent="0.3">
      <c r="D137" s="16">
        <v>991</v>
      </c>
      <c r="E137">
        <v>20118</v>
      </c>
      <c r="F137" s="33">
        <v>18396.122896854427</v>
      </c>
      <c r="G137">
        <v>220753.47476225311</v>
      </c>
      <c r="I137" s="27">
        <v>45955</v>
      </c>
      <c r="J137" s="48">
        <v>46776.700804681794</v>
      </c>
      <c r="K137" s="14">
        <v>467767.00804681785</v>
      </c>
    </row>
    <row r="138" spans="4:17" x14ac:dyDescent="0.3">
      <c r="D138" s="16">
        <v>992</v>
      </c>
      <c r="E138">
        <v>21555</v>
      </c>
      <c r="F138" s="33">
        <v>19710.131675201173</v>
      </c>
      <c r="G138">
        <v>236521.58010241407</v>
      </c>
      <c r="I138" s="27">
        <v>45956</v>
      </c>
      <c r="J138" s="48">
        <v>41702.633504023404</v>
      </c>
      <c r="K138" s="14">
        <v>419322.42136064376</v>
      </c>
    </row>
    <row r="139" spans="4:17" x14ac:dyDescent="0.3">
      <c r="D139" s="16">
        <v>993</v>
      </c>
      <c r="E139">
        <v>1563</v>
      </c>
      <c r="F139" s="33">
        <v>1429.2245793708853</v>
      </c>
      <c r="G139">
        <v>17150.694952450624</v>
      </c>
      <c r="I139" s="27">
        <v>45957</v>
      </c>
      <c r="J139" s="48">
        <v>40687.637161667888</v>
      </c>
      <c r="K139" s="14">
        <v>435897.95171909296</v>
      </c>
    </row>
    <row r="140" spans="4:17" x14ac:dyDescent="0.3">
      <c r="D140" s="16">
        <v>994</v>
      </c>
      <c r="E140">
        <v>8274</v>
      </c>
      <c r="F140" s="33">
        <v>7565.8376005852242</v>
      </c>
      <c r="G140">
        <v>98355.888807607917</v>
      </c>
      <c r="I140" s="27">
        <v>45958</v>
      </c>
      <c r="J140" s="48">
        <v>92018.105340160953</v>
      </c>
      <c r="K140" s="14">
        <v>981031.45574250189</v>
      </c>
    </row>
    <row r="141" spans="4:17" x14ac:dyDescent="0.3">
      <c r="D141" s="16">
        <v>995</v>
      </c>
      <c r="E141">
        <v>19667</v>
      </c>
      <c r="F141" s="33">
        <v>17983.723482077545</v>
      </c>
      <c r="G141">
        <v>215804.68178493052</v>
      </c>
      <c r="I141" s="27">
        <v>45959</v>
      </c>
      <c r="J141" s="48">
        <v>40899.780541331384</v>
      </c>
      <c r="K141" s="14">
        <v>408997.80541331385</v>
      </c>
    </row>
    <row r="142" spans="4:17" x14ac:dyDescent="0.3">
      <c r="D142" s="16">
        <v>996</v>
      </c>
      <c r="E142">
        <v>17569</v>
      </c>
      <c r="F142" s="33">
        <v>16065.288953913681</v>
      </c>
      <c r="G142">
        <v>192783.46744696418</v>
      </c>
      <c r="I142" s="27">
        <v>45960</v>
      </c>
      <c r="J142" s="48">
        <v>39604.974396488666</v>
      </c>
      <c r="K142" s="14">
        <v>396049.7439648867</v>
      </c>
    </row>
    <row r="143" spans="4:17" x14ac:dyDescent="0.3">
      <c r="D143" s="16">
        <v>997</v>
      </c>
      <c r="E143">
        <v>9264</v>
      </c>
      <c r="F143" s="33">
        <v>8471.1046086320421</v>
      </c>
      <c r="G143">
        <v>101653.2553035845</v>
      </c>
      <c r="I143" s="27">
        <v>45961</v>
      </c>
      <c r="J143" s="48">
        <v>174929.59034381859</v>
      </c>
      <c r="K143" s="14">
        <v>1749295.9034381863</v>
      </c>
    </row>
    <row r="144" spans="4:17" x14ac:dyDescent="0.3">
      <c r="D144" s="16">
        <v>998</v>
      </c>
      <c r="E144">
        <v>38020</v>
      </c>
      <c r="F144" s="33">
        <v>34765.910753474767</v>
      </c>
      <c r="G144">
        <v>347659.10753474769</v>
      </c>
      <c r="I144" s="27">
        <v>45964</v>
      </c>
      <c r="J144" s="48">
        <v>62574.067300658375</v>
      </c>
      <c r="K144" s="14">
        <v>635204.82809070963</v>
      </c>
    </row>
    <row r="145" spans="4:11" x14ac:dyDescent="0.3">
      <c r="D145" s="16">
        <v>999</v>
      </c>
      <c r="E145">
        <v>37349</v>
      </c>
      <c r="F145" s="33">
        <v>34152.340892465254</v>
      </c>
      <c r="G145">
        <v>341523.40892465255</v>
      </c>
      <c r="I145" s="27">
        <v>45965</v>
      </c>
      <c r="J145" s="48">
        <v>44091.075347476231</v>
      </c>
      <c r="K145" s="14">
        <v>573183.97951719095</v>
      </c>
    </row>
    <row r="146" spans="4:11" x14ac:dyDescent="0.3">
      <c r="D146" s="16">
        <v>1000</v>
      </c>
      <c r="E146">
        <v>1662</v>
      </c>
      <c r="F146" s="33">
        <v>1519.751280175567</v>
      </c>
      <c r="G146">
        <v>19756.766642282371</v>
      </c>
      <c r="I146" s="27">
        <v>45966</v>
      </c>
      <c r="J146" s="48"/>
      <c r="K146" s="14"/>
    </row>
    <row r="147" spans="4:11" x14ac:dyDescent="0.3">
      <c r="D147" s="16">
        <v>1001</v>
      </c>
      <c r="E147">
        <v>45331</v>
      </c>
      <c r="F147" s="33">
        <v>41451.170446232631</v>
      </c>
      <c r="G147">
        <v>414511.70446232631</v>
      </c>
      <c r="I147" s="27" t="s">
        <v>28</v>
      </c>
      <c r="J147" s="48">
        <v>5170996.7081199735</v>
      </c>
      <c r="K147" s="14">
        <v>53016210.332333587</v>
      </c>
    </row>
    <row r="148" spans="4:11" x14ac:dyDescent="0.3">
      <c r="D148" s="16">
        <v>1002</v>
      </c>
      <c r="E148">
        <v>10153</v>
      </c>
      <c r="F148" s="33">
        <v>9284.0160936356988</v>
      </c>
      <c r="G148">
        <v>92840.160936356988</v>
      </c>
      <c r="I148"/>
      <c r="J148"/>
      <c r="K148"/>
    </row>
    <row r="149" spans="4:11" x14ac:dyDescent="0.3">
      <c r="D149" s="16">
        <v>1003</v>
      </c>
      <c r="E149">
        <v>31733</v>
      </c>
      <c r="F149" s="33">
        <v>29017.008046817853</v>
      </c>
      <c r="G149">
        <v>290170.08046817855</v>
      </c>
      <c r="I149"/>
      <c r="J149"/>
      <c r="K149"/>
    </row>
    <row r="150" spans="4:11" x14ac:dyDescent="0.3">
      <c r="D150" s="16">
        <v>1004</v>
      </c>
      <c r="E150">
        <v>3227</v>
      </c>
      <c r="F150" s="33">
        <v>2950.8046817849308</v>
      </c>
      <c r="G150">
        <v>29508.04681784931</v>
      </c>
      <c r="I150"/>
      <c r="J150"/>
      <c r="K150"/>
    </row>
    <row r="151" spans="4:11" x14ac:dyDescent="0.3">
      <c r="D151" s="16">
        <v>1005</v>
      </c>
      <c r="E151">
        <v>7126</v>
      </c>
      <c r="F151" s="33">
        <v>6516.0936356986103</v>
      </c>
      <c r="G151">
        <v>65160.936356986102</v>
      </c>
      <c r="I151"/>
      <c r="J151"/>
      <c r="K151"/>
    </row>
    <row r="152" spans="4:11" x14ac:dyDescent="0.3">
      <c r="D152" s="16">
        <v>1006</v>
      </c>
      <c r="E152">
        <v>2200</v>
      </c>
      <c r="F152" s="33">
        <v>2011.704462326262</v>
      </c>
      <c r="G152">
        <v>20117.04462326262</v>
      </c>
      <c r="I152"/>
      <c r="J152"/>
      <c r="K152"/>
    </row>
    <row r="153" spans="4:11" x14ac:dyDescent="0.3">
      <c r="D153" s="16">
        <v>1007</v>
      </c>
      <c r="E153">
        <v>2372</v>
      </c>
      <c r="F153" s="33">
        <v>2168.9831748354063</v>
      </c>
      <c r="G153">
        <v>21689.831748354063</v>
      </c>
      <c r="I153"/>
      <c r="J153"/>
      <c r="K153"/>
    </row>
    <row r="154" spans="4:11" x14ac:dyDescent="0.3">
      <c r="D154" s="16">
        <v>1008</v>
      </c>
      <c r="E154">
        <v>10156</v>
      </c>
      <c r="F154" s="33">
        <v>9286.7593269934168</v>
      </c>
      <c r="G154">
        <v>92867.593269934165</v>
      </c>
      <c r="I154"/>
      <c r="J154"/>
      <c r="K154"/>
    </row>
    <row r="155" spans="4:11" x14ac:dyDescent="0.3">
      <c r="D155" s="16">
        <v>1009</v>
      </c>
      <c r="E155">
        <v>27090</v>
      </c>
      <c r="F155" s="33">
        <v>24771.3972201902</v>
      </c>
      <c r="G155">
        <v>247713.97220190201</v>
      </c>
      <c r="I155"/>
      <c r="J155"/>
      <c r="K155"/>
    </row>
    <row r="156" spans="4:11" x14ac:dyDescent="0.3">
      <c r="D156" s="16">
        <v>1010</v>
      </c>
      <c r="E156">
        <v>10885</v>
      </c>
      <c r="F156" s="33">
        <v>9953.3650329188004</v>
      </c>
      <c r="G156">
        <v>99533.650329188007</v>
      </c>
    </row>
    <row r="157" spans="4:11" x14ac:dyDescent="0.3">
      <c r="D157" s="16">
        <v>1011</v>
      </c>
      <c r="E157">
        <v>15623</v>
      </c>
      <c r="F157" s="33">
        <v>14285.844915874179</v>
      </c>
      <c r="G157">
        <v>142858.4491587418</v>
      </c>
    </row>
    <row r="158" spans="4:11" x14ac:dyDescent="0.3">
      <c r="D158" s="16">
        <v>1012</v>
      </c>
      <c r="E158">
        <v>15938</v>
      </c>
      <c r="F158" s="33">
        <v>14573.884418434529</v>
      </c>
      <c r="G158">
        <v>145738.84418434527</v>
      </c>
    </row>
    <row r="159" spans="4:11" x14ac:dyDescent="0.3">
      <c r="D159" s="16">
        <v>1013</v>
      </c>
      <c r="E159">
        <v>3756</v>
      </c>
      <c r="F159" s="33">
        <v>3434.5281638624729</v>
      </c>
      <c r="G159">
        <v>34345.281638624729</v>
      </c>
    </row>
    <row r="160" spans="4:11" x14ac:dyDescent="0.3">
      <c r="D160" s="16">
        <v>1014</v>
      </c>
      <c r="E160">
        <v>4953</v>
      </c>
      <c r="F160" s="33">
        <v>4529.0782735918074</v>
      </c>
      <c r="G160">
        <v>45290.782735918074</v>
      </c>
    </row>
    <row r="161" spans="4:7" x14ac:dyDescent="0.3">
      <c r="D161" s="16">
        <v>1015</v>
      </c>
      <c r="E161">
        <v>39419</v>
      </c>
      <c r="F161" s="33">
        <v>36045.171909290417</v>
      </c>
      <c r="G161">
        <v>360451.71909290418</v>
      </c>
    </row>
    <row r="162" spans="4:7" x14ac:dyDescent="0.3">
      <c r="D162" s="16">
        <v>1016</v>
      </c>
      <c r="E162">
        <v>837</v>
      </c>
      <c r="F162" s="33">
        <v>765.36210680321881</v>
      </c>
      <c r="G162">
        <v>9949.7073884418442</v>
      </c>
    </row>
    <row r="163" spans="4:7" x14ac:dyDescent="0.3">
      <c r="D163" s="16">
        <v>1017</v>
      </c>
      <c r="E163">
        <v>5350</v>
      </c>
      <c r="F163" s="33">
        <v>4892.0994879297732</v>
      </c>
      <c r="G163">
        <v>48920.99487929773</v>
      </c>
    </row>
    <row r="164" spans="4:7" x14ac:dyDescent="0.3">
      <c r="D164" s="16">
        <v>1018</v>
      </c>
      <c r="E164">
        <v>3248</v>
      </c>
      <c r="F164" s="33">
        <v>2970.007315288954</v>
      </c>
      <c r="G164">
        <v>44550.109729334312</v>
      </c>
    </row>
    <row r="165" spans="4:7" x14ac:dyDescent="0.3">
      <c r="D165" s="16">
        <v>1019</v>
      </c>
      <c r="E165">
        <v>5166</v>
      </c>
      <c r="F165" s="33">
        <v>4723.8478419897592</v>
      </c>
      <c r="G165">
        <v>61410.021945866873</v>
      </c>
    </row>
    <row r="166" spans="4:7" x14ac:dyDescent="0.3">
      <c r="D166" s="16">
        <v>1020</v>
      </c>
      <c r="E166">
        <v>36082</v>
      </c>
      <c r="F166" s="33">
        <v>32993.782004389177</v>
      </c>
      <c r="G166">
        <v>329937.82004389178</v>
      </c>
    </row>
    <row r="167" spans="4:7" x14ac:dyDescent="0.3">
      <c r="D167" s="16">
        <v>1021</v>
      </c>
      <c r="E167">
        <v>4382</v>
      </c>
      <c r="F167" s="33">
        <v>4006.9495245062185</v>
      </c>
      <c r="G167">
        <v>40069.495245062186</v>
      </c>
    </row>
    <row r="168" spans="4:7" x14ac:dyDescent="0.3">
      <c r="D168" s="16">
        <v>1022</v>
      </c>
      <c r="E168">
        <v>45820</v>
      </c>
      <c r="F168" s="33">
        <v>41898.317483540603</v>
      </c>
      <c r="G168">
        <v>418983.17483540601</v>
      </c>
    </row>
    <row r="169" spans="4:7" x14ac:dyDescent="0.3">
      <c r="D169" s="16">
        <v>1023</v>
      </c>
      <c r="E169">
        <v>3697</v>
      </c>
      <c r="F169" s="33">
        <v>3380.5779078273595</v>
      </c>
      <c r="G169">
        <v>94656.181419166067</v>
      </c>
    </row>
    <row r="170" spans="4:7" x14ac:dyDescent="0.3">
      <c r="D170" s="16">
        <v>1024</v>
      </c>
      <c r="E170">
        <v>46732</v>
      </c>
      <c r="F170" s="33">
        <v>42732.26042428676</v>
      </c>
      <c r="G170">
        <v>427322.60424286762</v>
      </c>
    </row>
    <row r="171" spans="4:7" x14ac:dyDescent="0.3">
      <c r="D171" s="16">
        <v>1025</v>
      </c>
      <c r="E171">
        <v>3950</v>
      </c>
      <c r="F171" s="33">
        <v>3611.9239209948796</v>
      </c>
      <c r="G171">
        <v>36119.239209948799</v>
      </c>
    </row>
    <row r="172" spans="4:7" x14ac:dyDescent="0.3">
      <c r="D172" s="16">
        <v>1026</v>
      </c>
      <c r="E172">
        <v>23587</v>
      </c>
      <c r="F172" s="33">
        <v>21568.215069495247</v>
      </c>
      <c r="G172">
        <v>215682.15069495246</v>
      </c>
    </row>
    <row r="173" spans="4:7" x14ac:dyDescent="0.3">
      <c r="D173" s="16">
        <v>1027</v>
      </c>
      <c r="E173">
        <v>17191</v>
      </c>
      <c r="F173" s="33">
        <v>15719.641550841259</v>
      </c>
      <c r="G173">
        <v>157196.41550841258</v>
      </c>
    </row>
    <row r="174" spans="4:7" x14ac:dyDescent="0.3">
      <c r="D174" s="16">
        <v>1028</v>
      </c>
      <c r="E174">
        <v>36674</v>
      </c>
      <c r="F174" s="33">
        <v>33535.113386978788</v>
      </c>
      <c r="G174">
        <v>335351.13386978791</v>
      </c>
    </row>
    <row r="175" spans="4:7" x14ac:dyDescent="0.3">
      <c r="D175" s="16">
        <v>1029</v>
      </c>
      <c r="E175">
        <v>1098</v>
      </c>
      <c r="F175" s="33">
        <v>1004.0234089246526</v>
      </c>
      <c r="G175">
        <v>10040.234089246525</v>
      </c>
    </row>
    <row r="176" spans="4:7" x14ac:dyDescent="0.3">
      <c r="D176" s="16">
        <v>1030</v>
      </c>
      <c r="E176">
        <v>5540</v>
      </c>
      <c r="F176" s="33">
        <v>5065.8376005852233</v>
      </c>
      <c r="G176">
        <v>50658.376005852231</v>
      </c>
    </row>
    <row r="177" spans="4:7" x14ac:dyDescent="0.3">
      <c r="D177" s="16">
        <v>1031</v>
      </c>
      <c r="E177">
        <v>49562</v>
      </c>
      <c r="F177" s="33">
        <v>45320.043891733731</v>
      </c>
      <c r="G177">
        <v>453200.43891733733</v>
      </c>
    </row>
    <row r="178" spans="4:7" x14ac:dyDescent="0.3">
      <c r="D178" s="16">
        <v>1032</v>
      </c>
      <c r="E178">
        <v>23852</v>
      </c>
      <c r="F178" s="33">
        <v>21810.534016093639</v>
      </c>
      <c r="G178">
        <v>218105.34016093641</v>
      </c>
    </row>
    <row r="179" spans="4:7" x14ac:dyDescent="0.3">
      <c r="D179" s="16">
        <v>1033</v>
      </c>
      <c r="E179">
        <v>9819</v>
      </c>
      <c r="F179" s="33">
        <v>8978.6027798098039</v>
      </c>
      <c r="G179">
        <v>89786.027798098046</v>
      </c>
    </row>
    <row r="180" spans="4:7" x14ac:dyDescent="0.3">
      <c r="D180" s="16">
        <v>1034</v>
      </c>
      <c r="E180">
        <v>19232</v>
      </c>
      <c r="F180" s="33">
        <v>17585.954645208487</v>
      </c>
      <c r="G180">
        <v>175859.54645208488</v>
      </c>
    </row>
    <row r="181" spans="4:7" x14ac:dyDescent="0.3">
      <c r="D181" s="16">
        <v>1035</v>
      </c>
      <c r="E181">
        <v>30559</v>
      </c>
      <c r="F181" s="33">
        <v>27943.489392831019</v>
      </c>
      <c r="G181">
        <v>279434.89392831019</v>
      </c>
    </row>
    <row r="182" spans="4:7" x14ac:dyDescent="0.3">
      <c r="D182" s="16">
        <v>1036</v>
      </c>
      <c r="E182">
        <v>32922</v>
      </c>
      <c r="F182" s="33">
        <v>30104.242867593272</v>
      </c>
      <c r="G182">
        <v>301042.42867593269</v>
      </c>
    </row>
    <row r="183" spans="4:7" x14ac:dyDescent="0.3">
      <c r="D183" s="16">
        <v>1037</v>
      </c>
      <c r="E183">
        <v>25357</v>
      </c>
      <c r="F183" s="33">
        <v>23186.722750548648</v>
      </c>
      <c r="G183">
        <v>231867.22750548649</v>
      </c>
    </row>
    <row r="184" spans="4:7" x14ac:dyDescent="0.3">
      <c r="D184" s="16">
        <v>1038</v>
      </c>
      <c r="E184">
        <v>15793</v>
      </c>
      <c r="F184" s="33">
        <v>14441.294806144844</v>
      </c>
      <c r="G184">
        <v>144412.94806144843</v>
      </c>
    </row>
    <row r="185" spans="4:7" x14ac:dyDescent="0.3">
      <c r="D185" s="16">
        <v>1039</v>
      </c>
      <c r="E185">
        <v>26575</v>
      </c>
      <c r="F185" s="33">
        <v>24300.475493782007</v>
      </c>
      <c r="G185">
        <v>243004.75493782008</v>
      </c>
    </row>
    <row r="186" spans="4:7" x14ac:dyDescent="0.3">
      <c r="D186" s="16">
        <v>1040</v>
      </c>
      <c r="E186">
        <v>6158</v>
      </c>
      <c r="F186" s="33">
        <v>5630.9436722750552</v>
      </c>
      <c r="G186">
        <v>56309.43672275055</v>
      </c>
    </row>
    <row r="187" spans="4:7" x14ac:dyDescent="0.3">
      <c r="D187" s="16">
        <v>1041</v>
      </c>
      <c r="E187">
        <v>14060</v>
      </c>
      <c r="F187" s="33">
        <v>12856.620336503292</v>
      </c>
      <c r="G187">
        <v>128566.20336503292</v>
      </c>
    </row>
    <row r="188" spans="4:7" x14ac:dyDescent="0.3">
      <c r="D188" s="16">
        <v>1042</v>
      </c>
      <c r="E188">
        <v>2395</v>
      </c>
      <c r="F188" s="33">
        <v>2190.0146305779081</v>
      </c>
      <c r="G188">
        <v>21900.146305779082</v>
      </c>
    </row>
    <row r="189" spans="4:7" x14ac:dyDescent="0.3">
      <c r="D189" s="16">
        <v>1043</v>
      </c>
      <c r="E189">
        <v>3450</v>
      </c>
      <c r="F189" s="33">
        <v>3154.7183613752745</v>
      </c>
      <c r="G189">
        <v>41011.338697878571</v>
      </c>
    </row>
    <row r="190" spans="4:7" x14ac:dyDescent="0.3">
      <c r="D190" s="16">
        <v>1044</v>
      </c>
      <c r="E190">
        <v>48218</v>
      </c>
      <c r="F190" s="33">
        <v>44091.075347476231</v>
      </c>
      <c r="G190">
        <v>573183.97951719095</v>
      </c>
    </row>
    <row r="191" spans="4:7" x14ac:dyDescent="0.3">
      <c r="D191" s="16">
        <v>1045</v>
      </c>
      <c r="E191">
        <v>28402</v>
      </c>
      <c r="F191" s="33"/>
      <c r="G191"/>
    </row>
    <row r="192" spans="4:7" x14ac:dyDescent="0.3">
      <c r="D192" s="16">
        <v>1046</v>
      </c>
      <c r="E192">
        <v>8494</v>
      </c>
      <c r="F192" s="33"/>
      <c r="G192"/>
    </row>
    <row r="193" spans="4:7" x14ac:dyDescent="0.3">
      <c r="D193" s="16">
        <v>1047</v>
      </c>
      <c r="E193">
        <v>15473</v>
      </c>
      <c r="F193" s="33"/>
      <c r="G193"/>
    </row>
    <row r="194" spans="4:7" x14ac:dyDescent="0.3">
      <c r="D194" s="16">
        <v>1048</v>
      </c>
      <c r="E194">
        <v>3372</v>
      </c>
      <c r="F194" s="33"/>
      <c r="G194"/>
    </row>
    <row r="195" spans="4:7" x14ac:dyDescent="0.3">
      <c r="D195" s="16">
        <v>1049</v>
      </c>
      <c r="E195">
        <v>0</v>
      </c>
      <c r="F195" s="33"/>
      <c r="G195"/>
    </row>
    <row r="196" spans="4:7" x14ac:dyDescent="0.3">
      <c r="D196" s="16">
        <v>1050</v>
      </c>
      <c r="E196">
        <v>11375</v>
      </c>
      <c r="F196" s="33"/>
      <c r="G196"/>
    </row>
    <row r="197" spans="4:7" x14ac:dyDescent="0.3">
      <c r="D197" s="16">
        <v>1051</v>
      </c>
      <c r="E197">
        <v>11921</v>
      </c>
      <c r="F197" s="33"/>
      <c r="G197"/>
    </row>
    <row r="198" spans="4:7" x14ac:dyDescent="0.3">
      <c r="D198" s="16">
        <v>1052</v>
      </c>
      <c r="E198">
        <v>4270</v>
      </c>
      <c r="F198" s="33"/>
      <c r="G198"/>
    </row>
    <row r="199" spans="4:7" x14ac:dyDescent="0.3">
      <c r="D199" s="16" t="s">
        <v>106</v>
      </c>
      <c r="E199"/>
      <c r="F199" s="33"/>
      <c r="G199"/>
    </row>
    <row r="200" spans="4:7" x14ac:dyDescent="0.3">
      <c r="D200" s="16" t="s">
        <v>28</v>
      </c>
      <c r="E200">
        <v>1092840</v>
      </c>
      <c r="F200" s="33">
        <v>5170996.7081199689</v>
      </c>
      <c r="G200">
        <v>53016210.33233358</v>
      </c>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2"/>
  <sheetViews>
    <sheetView topLeftCell="A27" zoomScale="85" zoomScaleNormal="165" workbookViewId="0">
      <selection activeCell="H46" sqref="H46"/>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4" t="s">
        <v>182</v>
      </c>
      <c r="C6" s="87" t="s">
        <v>98</v>
      </c>
      <c r="D6" s="11"/>
      <c r="E6" s="11"/>
      <c r="F6" s="11"/>
      <c r="G6" s="11">
        <f t="shared" si="0"/>
        <v>0</v>
      </c>
      <c r="H6" s="11"/>
      <c r="I6" s="11">
        <v>0</v>
      </c>
      <c r="K6" s="17">
        <f>SUM(Table3[Total])</f>
        <v>5366120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c r="D40" s="14"/>
      <c r="E40" s="14"/>
      <c r="F40" s="14"/>
      <c r="G40" s="14">
        <f>SUBTOTAL(109,Table3[Total])</f>
        <v>5366120</v>
      </c>
      <c r="H40" s="14">
        <f>SUBTOTAL(109,Table3[Paid])</f>
        <v>5102691</v>
      </c>
      <c r="I40" s="14">
        <f>SUBTOTAL(109,Table3[balance])</f>
        <v>2779730</v>
      </c>
      <c r="L40" s="47" t="s">
        <v>320</v>
      </c>
      <c r="M40" s="14">
        <v>137</v>
      </c>
      <c r="N40" s="14">
        <v>110970</v>
      </c>
      <c r="O40" s="14">
        <v>83850</v>
      </c>
      <c r="P40" s="14">
        <v>27120</v>
      </c>
    </row>
    <row r="41" spans="1:16" x14ac:dyDescent="0.3">
      <c r="L41" s="27">
        <v>45960</v>
      </c>
      <c r="M41" s="14"/>
      <c r="N41" s="14">
        <v>0</v>
      </c>
      <c r="O41" s="14">
        <v>300000</v>
      </c>
      <c r="P41" s="14">
        <v>-300000</v>
      </c>
    </row>
    <row r="42" spans="1:16" x14ac:dyDescent="0.3">
      <c r="L42" s="47" t="s">
        <v>106</v>
      </c>
      <c r="M42" s="14"/>
      <c r="N42" s="14">
        <v>0</v>
      </c>
      <c r="O42" s="14">
        <v>300000</v>
      </c>
      <c r="P42" s="14">
        <v>-300000</v>
      </c>
    </row>
    <row r="43" spans="1:16" x14ac:dyDescent="0.3">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t="s">
        <v>28</v>
      </c>
      <c r="M52" s="14">
        <v>6758</v>
      </c>
      <c r="N52" s="14">
        <v>5366120</v>
      </c>
      <c r="O52" s="14">
        <v>4837691</v>
      </c>
      <c r="P52" s="14">
        <v>3044730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78"/>
  <sheetViews>
    <sheetView topLeftCell="A261" zoomScale="132" workbookViewId="0">
      <selection activeCell="H278" sqref="H27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-520515</v>
      </c>
      <c r="E3" s="86"/>
      <c r="F3" s="93" t="s">
        <v>112</v>
      </c>
      <c r="J3" s="52" t="s">
        <v>45</v>
      </c>
      <c r="K3" s="40" t="s">
        <v>46</v>
      </c>
      <c r="M3" s="52" t="s">
        <v>45</v>
      </c>
      <c r="N3" s="55" t="s">
        <v>107</v>
      </c>
      <c r="O3" s="94" t="s">
        <v>108</v>
      </c>
      <c r="P3" t="s">
        <v>109</v>
      </c>
    </row>
    <row r="4" spans="1:16" x14ac:dyDescent="0.3">
      <c r="A4" s="115">
        <v>45948</v>
      </c>
      <c r="B4" t="s">
        <v>21</v>
      </c>
      <c r="C4" s="11"/>
      <c r="D4" s="11">
        <v>150000</v>
      </c>
      <c r="F4" s="116" t="s">
        <v>111</v>
      </c>
      <c r="J4" s="50" t="s">
        <v>70</v>
      </c>
      <c r="K4" s="51">
        <f>Table14[[#Totals],[Debit]]</f>
        <v>15208107</v>
      </c>
      <c r="M4" s="50" t="s">
        <v>110</v>
      </c>
      <c r="N4" s="56">
        <f>SUMIFS(Table14[Withdrawal],Table14[Party],"Cash",Table14[Mode],"Transfer")</f>
        <v>0</v>
      </c>
    </row>
    <row r="5" spans="1:16" x14ac:dyDescent="0.3">
      <c r="A5" s="115">
        <v>45948</v>
      </c>
      <c r="B5" t="s">
        <v>97</v>
      </c>
      <c r="C5" s="11">
        <v>76100</v>
      </c>
      <c r="D5" s="11"/>
      <c r="E5" t="s">
        <v>189</v>
      </c>
      <c r="F5" s="116" t="s">
        <v>111</v>
      </c>
      <c r="J5" s="50" t="s">
        <v>69</v>
      </c>
      <c r="K5" s="51">
        <f>Table14[[#Totals],[Credit]]</f>
        <v>16311397</v>
      </c>
      <c r="M5" s="50" t="s">
        <v>111</v>
      </c>
      <c r="N5" s="51">
        <f>(SUMIFS(Table14[Credit],Table14[Mode],"Bank")-SUMIFS(Table14[Debit],Table14[Mode],"Bank")-SUMIFS(Table14[Withdrawal],Table14[Mode],"Transfer"))</f>
        <v>1661006</v>
      </c>
      <c r="O5">
        <v>360000</v>
      </c>
    </row>
    <row r="6" spans="1:16" x14ac:dyDescent="0.3">
      <c r="A6" s="115">
        <v>45948</v>
      </c>
      <c r="B6" t="s">
        <v>97</v>
      </c>
      <c r="C6" s="11">
        <v>44000</v>
      </c>
      <c r="D6" s="11"/>
      <c r="E6" t="s">
        <v>190</v>
      </c>
      <c r="F6" s="116" t="s">
        <v>111</v>
      </c>
      <c r="J6" s="57" t="s">
        <v>43</v>
      </c>
      <c r="K6" s="58">
        <f>(K5-K4)</f>
        <v>1103290</v>
      </c>
      <c r="M6" s="50" t="s">
        <v>112</v>
      </c>
      <c r="N6" s="51">
        <f>((SUMIFS(Table14[Credit],Table14[Mode],"Cash")-SUMIFS(Table14[Debit],Table14[Mode],"Cash"))+SUMIFS(Table14[Withdrawal],Table14[Party],"Cash",Table14[Mode],"Transfer"))</f>
        <v>-557716</v>
      </c>
      <c r="O6">
        <v>50000</v>
      </c>
    </row>
    <row r="7" spans="1:16" x14ac:dyDescent="0.3">
      <c r="A7" s="115">
        <v>45948</v>
      </c>
      <c r="B7" t="s">
        <v>191</v>
      </c>
      <c r="C7" s="11">
        <v>10000</v>
      </c>
      <c r="D7" s="11"/>
      <c r="E7" t="s">
        <v>192</v>
      </c>
      <c r="F7" s="116" t="s">
        <v>111</v>
      </c>
      <c r="M7" s="53" t="s">
        <v>5</v>
      </c>
      <c r="N7" s="54">
        <f>SUM(N5:N6)</f>
        <v>1103290</v>
      </c>
      <c r="O7" s="95">
        <f>SUM(O5,O6)</f>
        <v>410000</v>
      </c>
      <c r="P7" s="14">
        <f>Table18[[#Totals],[amount]]-Table18[[#Totals],[Actual]]</f>
        <v>693290</v>
      </c>
    </row>
    <row r="8" spans="1:16" x14ac:dyDescent="0.3">
      <c r="A8" s="115">
        <v>45948</v>
      </c>
      <c r="B8" t="s">
        <v>54</v>
      </c>
      <c r="C8" s="11">
        <v>5330</v>
      </c>
      <c r="D8" s="11"/>
      <c r="E8" t="s">
        <v>193</v>
      </c>
      <c r="F8" s="116" t="s">
        <v>111</v>
      </c>
    </row>
    <row r="9" spans="1:16" x14ac:dyDescent="0.3">
      <c r="A9" s="115">
        <v>45948</v>
      </c>
      <c r="B9" t="s">
        <v>21</v>
      </c>
      <c r="C9" s="11"/>
      <c r="D9" s="11">
        <v>5330</v>
      </c>
      <c r="E9" t="s">
        <v>193</v>
      </c>
      <c r="F9" s="116" t="s">
        <v>111</v>
      </c>
    </row>
    <row r="10" spans="1:16" x14ac:dyDescent="0.3">
      <c r="A10" s="115">
        <v>45948</v>
      </c>
      <c r="B10" t="s">
        <v>194</v>
      </c>
      <c r="C10" s="11"/>
      <c r="D10" s="11">
        <v>4000</v>
      </c>
      <c r="F10" s="116" t="s">
        <v>111</v>
      </c>
    </row>
    <row r="11" spans="1:16" x14ac:dyDescent="0.3">
      <c r="A11" s="115">
        <v>45948</v>
      </c>
      <c r="B11" t="s">
        <v>174</v>
      </c>
      <c r="C11" s="117">
        <v>207475</v>
      </c>
      <c r="D11" s="117"/>
      <c r="E11" t="s">
        <v>195</v>
      </c>
      <c r="F11" s="116" t="s">
        <v>111</v>
      </c>
    </row>
    <row r="12" spans="1:16" x14ac:dyDescent="0.3">
      <c r="A12" s="115">
        <v>45948</v>
      </c>
      <c r="B12" t="s">
        <v>50</v>
      </c>
      <c r="C12" s="11">
        <v>420</v>
      </c>
      <c r="D12" s="11"/>
      <c r="F12" s="116" t="s">
        <v>112</v>
      </c>
    </row>
    <row r="13" spans="1:16" x14ac:dyDescent="0.3">
      <c r="A13" s="115">
        <v>45948</v>
      </c>
      <c r="B13" t="s">
        <v>21</v>
      </c>
      <c r="C13" s="11"/>
      <c r="D13" s="11">
        <v>200000</v>
      </c>
      <c r="F13" s="116" t="s">
        <v>111</v>
      </c>
    </row>
    <row r="14" spans="1:16" x14ac:dyDescent="0.3">
      <c r="A14" s="115">
        <v>45948</v>
      </c>
      <c r="B14" t="s">
        <v>52</v>
      </c>
      <c r="C14" s="11">
        <v>3750</v>
      </c>
      <c r="D14" s="11"/>
      <c r="E14" t="s">
        <v>196</v>
      </c>
      <c r="F14" s="116" t="s">
        <v>112</v>
      </c>
    </row>
    <row r="15" spans="1:16" x14ac:dyDescent="0.3">
      <c r="A15" s="115">
        <v>45948</v>
      </c>
      <c r="B15" t="s">
        <v>97</v>
      </c>
      <c r="C15" s="11">
        <v>17000</v>
      </c>
      <c r="D15" s="11"/>
      <c r="E15" t="s">
        <v>197</v>
      </c>
      <c r="F15" s="116" t="s">
        <v>112</v>
      </c>
    </row>
    <row r="16" spans="1:16" x14ac:dyDescent="0.3">
      <c r="A16" s="115">
        <v>45948</v>
      </c>
      <c r="B16" t="s">
        <v>174</v>
      </c>
      <c r="C16" s="117">
        <v>5000</v>
      </c>
      <c r="D16" s="117"/>
      <c r="E16" t="s">
        <v>197</v>
      </c>
      <c r="F16" s="116" t="s">
        <v>112</v>
      </c>
    </row>
    <row r="17" spans="1:6" x14ac:dyDescent="0.3">
      <c r="A17" s="115">
        <v>45948</v>
      </c>
      <c r="B17" t="s">
        <v>182</v>
      </c>
      <c r="C17" s="11">
        <v>1000</v>
      </c>
      <c r="D17" s="11"/>
      <c r="E17" t="s">
        <v>197</v>
      </c>
      <c r="F17" s="116" t="s">
        <v>112</v>
      </c>
    </row>
    <row r="18" spans="1:6" x14ac:dyDescent="0.3">
      <c r="A18" s="115">
        <v>45948</v>
      </c>
      <c r="B18" t="s">
        <v>50</v>
      </c>
      <c r="C18" s="11">
        <v>1000</v>
      </c>
      <c r="D18" s="11"/>
      <c r="E18" t="s">
        <v>197</v>
      </c>
      <c r="F18" s="116" t="s">
        <v>112</v>
      </c>
    </row>
    <row r="19" spans="1:6" x14ac:dyDescent="0.3">
      <c r="A19" s="115">
        <v>45948</v>
      </c>
      <c r="B19" t="s">
        <v>209</v>
      </c>
      <c r="C19" s="11"/>
      <c r="D19" s="11">
        <v>3000</v>
      </c>
      <c r="E19" t="s">
        <v>210</v>
      </c>
      <c r="F19" s="116" t="s">
        <v>112</v>
      </c>
    </row>
    <row r="20" spans="1:6" x14ac:dyDescent="0.3">
      <c r="A20" s="115">
        <v>45948</v>
      </c>
      <c r="B20" t="s">
        <v>198</v>
      </c>
      <c r="C20" s="11"/>
      <c r="D20" s="11">
        <v>415571</v>
      </c>
      <c r="E20" t="s">
        <v>199</v>
      </c>
      <c r="F20" s="116" t="s">
        <v>111</v>
      </c>
    </row>
    <row r="21" spans="1:6" x14ac:dyDescent="0.3">
      <c r="A21" s="115">
        <v>45948</v>
      </c>
      <c r="B21" t="s">
        <v>97</v>
      </c>
      <c r="C21" s="11">
        <v>300000</v>
      </c>
      <c r="D21" s="11"/>
      <c r="E21" t="s">
        <v>200</v>
      </c>
      <c r="F21" s="116" t="s">
        <v>111</v>
      </c>
    </row>
    <row r="22" spans="1:6" x14ac:dyDescent="0.3">
      <c r="A22" s="115">
        <v>45948</v>
      </c>
      <c r="B22" t="s">
        <v>201</v>
      </c>
      <c r="C22" s="11"/>
      <c r="D22" s="11">
        <v>590170</v>
      </c>
      <c r="F22" s="116" t="s">
        <v>111</v>
      </c>
    </row>
    <row r="23" spans="1:6" x14ac:dyDescent="0.3">
      <c r="A23" s="115">
        <v>45948</v>
      </c>
      <c r="B23" t="s">
        <v>118</v>
      </c>
      <c r="C23" s="11">
        <v>300000</v>
      </c>
      <c r="D23" s="11"/>
      <c r="E23" t="s">
        <v>21</v>
      </c>
      <c r="F23" s="116" t="s">
        <v>111</v>
      </c>
    </row>
    <row r="24" spans="1:6" x14ac:dyDescent="0.3">
      <c r="A24" s="115">
        <v>45948</v>
      </c>
      <c r="B24" t="s">
        <v>21</v>
      </c>
      <c r="C24" s="11"/>
      <c r="D24" s="11">
        <v>1370</v>
      </c>
      <c r="E24" t="s">
        <v>202</v>
      </c>
      <c r="F24" s="116" t="s">
        <v>111</v>
      </c>
    </row>
    <row r="25" spans="1:6" x14ac:dyDescent="0.3">
      <c r="A25" s="43">
        <v>45948</v>
      </c>
      <c r="B25" t="s">
        <v>55</v>
      </c>
      <c r="C25" s="117">
        <v>1370</v>
      </c>
      <c r="D25" s="117"/>
      <c r="E25" t="s">
        <v>202</v>
      </c>
      <c r="F25" s="116" t="s">
        <v>111</v>
      </c>
    </row>
    <row r="26" spans="1:6" x14ac:dyDescent="0.3">
      <c r="A26" s="115">
        <v>45948</v>
      </c>
      <c r="B26" t="s">
        <v>21</v>
      </c>
      <c r="C26" s="11"/>
      <c r="D26" s="11">
        <v>15000</v>
      </c>
      <c r="E26" t="s">
        <v>203</v>
      </c>
      <c r="F26" s="116" t="s">
        <v>111</v>
      </c>
    </row>
    <row r="27" spans="1:6" x14ac:dyDescent="0.3">
      <c r="A27" s="43">
        <v>45948</v>
      </c>
      <c r="B27" t="s">
        <v>55</v>
      </c>
      <c r="C27" s="117">
        <v>10000</v>
      </c>
      <c r="D27" s="117"/>
      <c r="E27" t="s">
        <v>204</v>
      </c>
      <c r="F27" s="116" t="s">
        <v>111</v>
      </c>
    </row>
    <row r="28" spans="1:6" x14ac:dyDescent="0.3">
      <c r="A28" s="43">
        <v>45948</v>
      </c>
      <c r="B28" t="s">
        <v>21</v>
      </c>
      <c r="C28" s="117"/>
      <c r="D28" s="117">
        <v>10000</v>
      </c>
      <c r="E28" t="s">
        <v>205</v>
      </c>
      <c r="F28" s="116" t="s">
        <v>111</v>
      </c>
    </row>
    <row r="29" spans="1:6" x14ac:dyDescent="0.3">
      <c r="A29" s="43">
        <v>45948</v>
      </c>
      <c r="B29" t="s">
        <v>55</v>
      </c>
      <c r="C29" s="117">
        <v>10000</v>
      </c>
      <c r="D29" s="117"/>
      <c r="E29" t="s">
        <v>205</v>
      </c>
      <c r="F29" s="116" t="s">
        <v>111</v>
      </c>
    </row>
    <row r="30" spans="1:6" x14ac:dyDescent="0.3">
      <c r="A30" s="115">
        <v>45948</v>
      </c>
      <c r="B30" t="s">
        <v>206</v>
      </c>
      <c r="C30" s="11">
        <v>162250</v>
      </c>
      <c r="D30" s="11"/>
      <c r="F30" s="116" t="s">
        <v>111</v>
      </c>
    </row>
    <row r="31" spans="1:6" x14ac:dyDescent="0.3">
      <c r="A31" s="43">
        <v>45948</v>
      </c>
      <c r="B31" t="s">
        <v>21</v>
      </c>
      <c r="C31" s="117"/>
      <c r="D31" s="117">
        <v>162250</v>
      </c>
      <c r="E31" t="s">
        <v>64</v>
      </c>
      <c r="F31" s="116" t="s">
        <v>111</v>
      </c>
    </row>
    <row r="32" spans="1:6" x14ac:dyDescent="0.3">
      <c r="A32" s="115">
        <v>45948</v>
      </c>
      <c r="B32" t="s">
        <v>21</v>
      </c>
      <c r="C32" s="11"/>
      <c r="D32" s="11">
        <v>23500</v>
      </c>
      <c r="E32" t="s">
        <v>211</v>
      </c>
      <c r="F32" s="116" t="s">
        <v>111</v>
      </c>
    </row>
    <row r="33" spans="1:6" x14ac:dyDescent="0.3">
      <c r="A33" s="43">
        <v>45948</v>
      </c>
      <c r="B33" t="s">
        <v>55</v>
      </c>
      <c r="C33" s="117">
        <v>23500</v>
      </c>
      <c r="D33" s="117"/>
      <c r="F33" s="116" t="s">
        <v>111</v>
      </c>
    </row>
    <row r="34" spans="1:6" x14ac:dyDescent="0.3">
      <c r="A34" s="115">
        <v>45948</v>
      </c>
      <c r="B34" t="s">
        <v>194</v>
      </c>
      <c r="C34" s="11">
        <v>1600</v>
      </c>
      <c r="D34" s="11"/>
      <c r="F34" s="116" t="s">
        <v>112</v>
      </c>
    </row>
    <row r="35" spans="1:6" x14ac:dyDescent="0.3">
      <c r="A35" s="115">
        <v>45948</v>
      </c>
      <c r="B35" t="s">
        <v>212</v>
      </c>
      <c r="C35" s="11">
        <v>100000</v>
      </c>
      <c r="D35" s="11"/>
      <c r="E35" t="s">
        <v>213</v>
      </c>
      <c r="F35" s="116" t="s">
        <v>111</v>
      </c>
    </row>
    <row r="36" spans="1:6" x14ac:dyDescent="0.3">
      <c r="A36" s="43">
        <v>45950</v>
      </c>
      <c r="B36" t="s">
        <v>214</v>
      </c>
      <c r="C36" s="117"/>
      <c r="D36" s="117">
        <v>54825</v>
      </c>
      <c r="E36" t="s">
        <v>215</v>
      </c>
      <c r="F36" s="116" t="s">
        <v>112</v>
      </c>
    </row>
    <row r="37" spans="1:6" x14ac:dyDescent="0.3">
      <c r="A37" s="43">
        <v>45950</v>
      </c>
      <c r="B37" t="s">
        <v>214</v>
      </c>
      <c r="C37" s="117">
        <f>33695+1500</f>
        <v>35195</v>
      </c>
      <c r="D37" s="117"/>
      <c r="E37" t="s">
        <v>216</v>
      </c>
      <c r="F37" s="116" t="s">
        <v>112</v>
      </c>
    </row>
    <row r="38" spans="1:6" x14ac:dyDescent="0.3">
      <c r="A38" s="43">
        <v>45950</v>
      </c>
      <c r="B38" t="s">
        <v>54</v>
      </c>
      <c r="C38" s="11">
        <v>1000</v>
      </c>
      <c r="D38" s="11"/>
      <c r="E38" t="s">
        <v>217</v>
      </c>
      <c r="F38" s="116" t="s">
        <v>111</v>
      </c>
    </row>
    <row r="39" spans="1:6" x14ac:dyDescent="0.3">
      <c r="A39" s="43">
        <v>45950</v>
      </c>
      <c r="B39" t="s">
        <v>97</v>
      </c>
      <c r="C39" s="11">
        <v>48800</v>
      </c>
      <c r="D39" s="11"/>
      <c r="E39" t="s">
        <v>218</v>
      </c>
      <c r="F39" s="116" t="s">
        <v>111</v>
      </c>
    </row>
    <row r="40" spans="1:6" x14ac:dyDescent="0.3">
      <c r="A40" s="43">
        <v>45950</v>
      </c>
      <c r="B40" t="s">
        <v>97</v>
      </c>
      <c r="C40" s="11">
        <v>51500</v>
      </c>
      <c r="D40" s="11"/>
      <c r="E40" t="s">
        <v>219</v>
      </c>
      <c r="F40" s="116" t="s">
        <v>111</v>
      </c>
    </row>
    <row r="41" spans="1:6" x14ac:dyDescent="0.3">
      <c r="A41" s="43">
        <v>45950</v>
      </c>
      <c r="B41" t="s">
        <v>212</v>
      </c>
      <c r="C41" s="11">
        <v>2600</v>
      </c>
      <c r="D41" s="11"/>
      <c r="E41" t="s">
        <v>220</v>
      </c>
      <c r="F41" s="116" t="s">
        <v>111</v>
      </c>
    </row>
    <row r="42" spans="1:6" x14ac:dyDescent="0.3">
      <c r="A42" s="43">
        <v>45950</v>
      </c>
      <c r="B42" t="s">
        <v>212</v>
      </c>
      <c r="C42" s="11">
        <v>6600</v>
      </c>
      <c r="D42" s="11"/>
      <c r="E42" t="s">
        <v>220</v>
      </c>
      <c r="F42" s="116" t="s">
        <v>111</v>
      </c>
    </row>
    <row r="43" spans="1:6" x14ac:dyDescent="0.3">
      <c r="A43" s="43">
        <v>45950</v>
      </c>
      <c r="B43" t="s">
        <v>52</v>
      </c>
      <c r="C43" s="11">
        <v>3500</v>
      </c>
      <c r="D43" s="11"/>
      <c r="E43" t="s">
        <v>221</v>
      </c>
      <c r="F43" s="116" t="s">
        <v>112</v>
      </c>
    </row>
    <row r="44" spans="1:6" x14ac:dyDescent="0.3">
      <c r="A44" s="43">
        <v>45950</v>
      </c>
      <c r="B44" t="s">
        <v>222</v>
      </c>
      <c r="C44" s="11">
        <v>2000</v>
      </c>
      <c r="D44" s="11"/>
      <c r="E44" t="s">
        <v>223</v>
      </c>
      <c r="F44" s="116" t="s">
        <v>112</v>
      </c>
    </row>
    <row r="45" spans="1:6" x14ac:dyDescent="0.3">
      <c r="A45" s="43">
        <v>45950</v>
      </c>
      <c r="B45" t="s">
        <v>212</v>
      </c>
      <c r="C45" s="11">
        <v>2700</v>
      </c>
      <c r="D45" s="11"/>
      <c r="E45" t="s">
        <v>224</v>
      </c>
      <c r="F45" s="116" t="s">
        <v>112</v>
      </c>
    </row>
    <row r="46" spans="1:6" x14ac:dyDescent="0.3">
      <c r="A46" s="43">
        <v>45950</v>
      </c>
      <c r="B46" t="s">
        <v>52</v>
      </c>
      <c r="C46" s="11">
        <v>6600</v>
      </c>
      <c r="D46" s="11"/>
      <c r="E46" t="s">
        <v>225</v>
      </c>
      <c r="F46" s="116" t="s">
        <v>111</v>
      </c>
    </row>
    <row r="47" spans="1:6" x14ac:dyDescent="0.3">
      <c r="A47" s="43">
        <v>45950</v>
      </c>
      <c r="B47" t="s">
        <v>212</v>
      </c>
      <c r="C47" s="11">
        <v>13500</v>
      </c>
      <c r="D47" s="11"/>
      <c r="E47" t="s">
        <v>226</v>
      </c>
      <c r="F47" s="116" t="s">
        <v>111</v>
      </c>
    </row>
    <row r="48" spans="1:6" x14ac:dyDescent="0.3">
      <c r="A48" s="43">
        <v>45950</v>
      </c>
      <c r="B48" t="s">
        <v>50</v>
      </c>
      <c r="C48" s="11">
        <f>4500+720</f>
        <v>5220</v>
      </c>
      <c r="D48" s="11"/>
      <c r="E48" t="s">
        <v>230</v>
      </c>
      <c r="F48" s="116" t="s">
        <v>111</v>
      </c>
    </row>
    <row r="49" spans="1:6" x14ac:dyDescent="0.3">
      <c r="A49" s="43">
        <v>45951</v>
      </c>
      <c r="B49" t="s">
        <v>54</v>
      </c>
      <c r="C49" s="11">
        <v>5311</v>
      </c>
      <c r="D49" s="11"/>
      <c r="E49" t="s">
        <v>231</v>
      </c>
      <c r="F49" s="116" t="s">
        <v>111</v>
      </c>
    </row>
    <row r="50" spans="1:6" x14ac:dyDescent="0.3">
      <c r="A50" s="43">
        <v>45951</v>
      </c>
      <c r="B50" t="s">
        <v>55</v>
      </c>
      <c r="C50" s="11">
        <v>10000</v>
      </c>
      <c r="D50" s="11"/>
      <c r="E50" t="s">
        <v>232</v>
      </c>
      <c r="F50" s="116" t="s">
        <v>111</v>
      </c>
    </row>
    <row r="51" spans="1:6" x14ac:dyDescent="0.3">
      <c r="A51" s="43">
        <v>45951</v>
      </c>
      <c r="B51" t="s">
        <v>55</v>
      </c>
      <c r="C51" s="11">
        <v>700</v>
      </c>
      <c r="D51" s="11"/>
      <c r="E51" t="s">
        <v>233</v>
      </c>
      <c r="F51" s="116" t="s">
        <v>111</v>
      </c>
    </row>
    <row r="52" spans="1:6" x14ac:dyDescent="0.3">
      <c r="A52" s="43">
        <v>45951</v>
      </c>
      <c r="B52" t="s">
        <v>55</v>
      </c>
      <c r="C52" s="11">
        <v>4100</v>
      </c>
      <c r="D52" s="11"/>
      <c r="E52" t="s">
        <v>234</v>
      </c>
      <c r="F52" s="116" t="s">
        <v>111</v>
      </c>
    </row>
    <row r="53" spans="1:6" x14ac:dyDescent="0.3">
      <c r="A53" s="43">
        <v>45951</v>
      </c>
      <c r="B53" t="s">
        <v>50</v>
      </c>
      <c r="C53" s="11">
        <v>450</v>
      </c>
      <c r="D53" s="11"/>
      <c r="E53" t="s">
        <v>235</v>
      </c>
      <c r="F53" s="116" t="s">
        <v>111</v>
      </c>
    </row>
    <row r="54" spans="1:6" x14ac:dyDescent="0.3">
      <c r="A54" s="43">
        <v>45951</v>
      </c>
      <c r="B54" t="s">
        <v>97</v>
      </c>
      <c r="C54" s="11">
        <v>303200</v>
      </c>
      <c r="D54" s="11"/>
      <c r="E54" t="s">
        <v>236</v>
      </c>
      <c r="F54" s="116" t="s">
        <v>111</v>
      </c>
    </row>
    <row r="55" spans="1:6" x14ac:dyDescent="0.3">
      <c r="A55" s="43">
        <v>45951</v>
      </c>
      <c r="B55" t="s">
        <v>21</v>
      </c>
      <c r="C55" s="11"/>
      <c r="D55" s="11">
        <v>180000</v>
      </c>
      <c r="E55" t="s">
        <v>237</v>
      </c>
      <c r="F55" s="116" t="s">
        <v>111</v>
      </c>
    </row>
    <row r="56" spans="1:6" x14ac:dyDescent="0.3">
      <c r="A56" s="43">
        <v>45951</v>
      </c>
      <c r="B56" t="s">
        <v>21</v>
      </c>
      <c r="C56" s="11"/>
      <c r="D56" s="11">
        <v>12000</v>
      </c>
      <c r="E56" t="s">
        <v>238</v>
      </c>
      <c r="F56" s="116" t="s">
        <v>111</v>
      </c>
    </row>
    <row r="57" spans="1:6" x14ac:dyDescent="0.3">
      <c r="A57" s="43">
        <v>45951</v>
      </c>
      <c r="B57" t="s">
        <v>64</v>
      </c>
      <c r="C57" s="11">
        <v>12000</v>
      </c>
      <c r="D57" s="11"/>
      <c r="E57" t="s">
        <v>238</v>
      </c>
      <c r="F57" s="116" t="s">
        <v>111</v>
      </c>
    </row>
    <row r="58" spans="1:6" x14ac:dyDescent="0.3">
      <c r="A58" s="43">
        <v>45951</v>
      </c>
      <c r="B58" t="s">
        <v>97</v>
      </c>
      <c r="C58" s="11">
        <v>100000</v>
      </c>
      <c r="D58" s="11"/>
      <c r="E58" t="s">
        <v>243</v>
      </c>
      <c r="F58" s="116" t="s">
        <v>111</v>
      </c>
    </row>
    <row r="59" spans="1:6" x14ac:dyDescent="0.3">
      <c r="A59" s="43">
        <v>45951</v>
      </c>
      <c r="B59" t="s">
        <v>21</v>
      </c>
      <c r="C59" s="11"/>
      <c r="D59" s="11">
        <v>100000</v>
      </c>
      <c r="F59" s="116" t="s">
        <v>111</v>
      </c>
    </row>
    <row r="60" spans="1:6" x14ac:dyDescent="0.3">
      <c r="A60" s="43">
        <v>45951</v>
      </c>
      <c r="B60" t="s">
        <v>201</v>
      </c>
      <c r="C60" s="11"/>
      <c r="D60" s="11">
        <v>62000</v>
      </c>
      <c r="E60" t="s">
        <v>239</v>
      </c>
      <c r="F60" s="116" t="s">
        <v>112</v>
      </c>
    </row>
    <row r="61" spans="1:6" x14ac:dyDescent="0.3">
      <c r="A61" s="43">
        <v>45951</v>
      </c>
      <c r="B61" t="s">
        <v>212</v>
      </c>
      <c r="C61" s="11">
        <v>6000</v>
      </c>
      <c r="D61" s="11"/>
      <c r="E61" t="s">
        <v>240</v>
      </c>
      <c r="F61" s="116" t="s">
        <v>112</v>
      </c>
    </row>
    <row r="62" spans="1:6" x14ac:dyDescent="0.3">
      <c r="A62" s="43">
        <v>45951</v>
      </c>
      <c r="B62" t="s">
        <v>52</v>
      </c>
      <c r="C62" s="11">
        <v>13900</v>
      </c>
      <c r="D62" s="11"/>
      <c r="E62" t="s">
        <v>241</v>
      </c>
      <c r="F62" s="116" t="s">
        <v>111</v>
      </c>
    </row>
    <row r="63" spans="1:6" x14ac:dyDescent="0.3">
      <c r="A63" s="43">
        <v>45951</v>
      </c>
      <c r="B63" t="s">
        <v>55</v>
      </c>
      <c r="C63" s="11">
        <v>6000</v>
      </c>
      <c r="D63" s="11"/>
      <c r="E63" t="s">
        <v>242</v>
      </c>
      <c r="F63" s="116" t="s">
        <v>111</v>
      </c>
    </row>
    <row r="64" spans="1:6" x14ac:dyDescent="0.3">
      <c r="A64" s="43">
        <v>45951</v>
      </c>
      <c r="B64" t="s">
        <v>21</v>
      </c>
      <c r="C64" s="117"/>
      <c r="D64" s="117">
        <v>6000</v>
      </c>
      <c r="E64" t="s">
        <v>242</v>
      </c>
      <c r="F64" s="116" t="s">
        <v>111</v>
      </c>
    </row>
    <row r="65" spans="1:6" x14ac:dyDescent="0.3">
      <c r="A65" s="43">
        <v>45951</v>
      </c>
      <c r="B65" t="s">
        <v>244</v>
      </c>
      <c r="C65" s="11">
        <v>2503038</v>
      </c>
      <c r="D65" s="11"/>
      <c r="E65" t="s">
        <v>245</v>
      </c>
      <c r="F65" s="116" t="s">
        <v>111</v>
      </c>
    </row>
    <row r="66" spans="1:6" x14ac:dyDescent="0.3">
      <c r="A66" s="43">
        <v>45951</v>
      </c>
      <c r="B66" t="s">
        <v>21</v>
      </c>
      <c r="C66" s="11"/>
      <c r="D66" s="11">
        <v>2503038</v>
      </c>
      <c r="E66" t="s">
        <v>245</v>
      </c>
      <c r="F66" s="116" t="s">
        <v>111</v>
      </c>
    </row>
    <row r="67" spans="1:6" x14ac:dyDescent="0.3">
      <c r="A67" s="43">
        <v>45951</v>
      </c>
      <c r="B67" t="s">
        <v>212</v>
      </c>
      <c r="C67" s="11">
        <v>1500</v>
      </c>
      <c r="D67" s="11"/>
      <c r="E67" t="s">
        <v>246</v>
      </c>
      <c r="F67" s="116" t="s">
        <v>111</v>
      </c>
    </row>
    <row r="68" spans="1:6" x14ac:dyDescent="0.3">
      <c r="A68" s="43">
        <v>45950</v>
      </c>
      <c r="B68" t="s">
        <v>194</v>
      </c>
      <c r="C68" s="11">
        <v>1100</v>
      </c>
      <c r="D68" s="11"/>
      <c r="E68" t="s">
        <v>247</v>
      </c>
      <c r="F68" s="116" t="s">
        <v>111</v>
      </c>
    </row>
    <row r="69" spans="1:6" x14ac:dyDescent="0.3">
      <c r="A69" s="43">
        <v>45951</v>
      </c>
      <c r="B69" t="s">
        <v>54</v>
      </c>
      <c r="C69" s="11">
        <v>1000</v>
      </c>
      <c r="D69" s="11"/>
      <c r="E69" t="s">
        <v>248</v>
      </c>
      <c r="F69" s="116" t="s">
        <v>111</v>
      </c>
    </row>
    <row r="70" spans="1:6" x14ac:dyDescent="0.3">
      <c r="A70" s="43">
        <v>45952</v>
      </c>
      <c r="B70" t="s">
        <v>9</v>
      </c>
      <c r="C70" s="11"/>
      <c r="D70" s="11">
        <v>200000</v>
      </c>
      <c r="E70" t="s">
        <v>250</v>
      </c>
      <c r="F70" s="116" t="s">
        <v>111</v>
      </c>
    </row>
    <row r="71" spans="1:6" x14ac:dyDescent="0.3">
      <c r="A71" s="43">
        <v>45952</v>
      </c>
      <c r="B71" t="s">
        <v>50</v>
      </c>
      <c r="C71" s="11">
        <v>1000</v>
      </c>
      <c r="D71" s="11"/>
      <c r="E71" t="s">
        <v>251</v>
      </c>
      <c r="F71" s="116" t="s">
        <v>111</v>
      </c>
    </row>
    <row r="72" spans="1:6" x14ac:dyDescent="0.3">
      <c r="A72" s="43">
        <v>45952</v>
      </c>
      <c r="B72" t="s">
        <v>212</v>
      </c>
      <c r="C72" s="11">
        <v>5900</v>
      </c>
      <c r="D72" s="11"/>
      <c r="E72" t="s">
        <v>252</v>
      </c>
      <c r="F72" s="116" t="s">
        <v>111</v>
      </c>
    </row>
    <row r="73" spans="1:6" x14ac:dyDescent="0.3">
      <c r="A73" s="43">
        <v>45952</v>
      </c>
      <c r="B73" t="s">
        <v>191</v>
      </c>
      <c r="C73" s="11">
        <v>1000</v>
      </c>
      <c r="D73" s="11"/>
      <c r="E73" t="s">
        <v>253</v>
      </c>
      <c r="F73" s="116" t="s">
        <v>111</v>
      </c>
    </row>
    <row r="74" spans="1:6" x14ac:dyDescent="0.3">
      <c r="A74" s="43">
        <v>45952</v>
      </c>
      <c r="B74" t="s">
        <v>55</v>
      </c>
      <c r="C74" s="11">
        <v>25000</v>
      </c>
      <c r="D74" s="11"/>
      <c r="E74" t="s">
        <v>232</v>
      </c>
      <c r="F74" s="116" t="s">
        <v>111</v>
      </c>
    </row>
    <row r="75" spans="1:6" x14ac:dyDescent="0.3">
      <c r="A75" s="43">
        <v>45952</v>
      </c>
      <c r="B75" t="s">
        <v>52</v>
      </c>
      <c r="C75" s="11">
        <v>3000</v>
      </c>
      <c r="D75" s="11"/>
      <c r="E75" t="s">
        <v>254</v>
      </c>
      <c r="F75" s="116" t="s">
        <v>112</v>
      </c>
    </row>
    <row r="76" spans="1:6" x14ac:dyDescent="0.3">
      <c r="A76" s="43">
        <v>45952</v>
      </c>
      <c r="B76" t="s">
        <v>50</v>
      </c>
      <c r="C76" s="11">
        <v>800</v>
      </c>
      <c r="D76" s="11"/>
      <c r="E76" t="s">
        <v>255</v>
      </c>
      <c r="F76" s="116" t="s">
        <v>111</v>
      </c>
    </row>
    <row r="77" spans="1:6" x14ac:dyDescent="0.3">
      <c r="A77" s="43">
        <v>45952</v>
      </c>
      <c r="B77" t="s">
        <v>9</v>
      </c>
      <c r="C77" s="117"/>
      <c r="D77" s="117">
        <v>100000</v>
      </c>
      <c r="E77" t="s">
        <v>250</v>
      </c>
      <c r="F77" s="116" t="s">
        <v>111</v>
      </c>
    </row>
    <row r="78" spans="1:6" x14ac:dyDescent="0.3">
      <c r="A78" s="43">
        <v>45952</v>
      </c>
      <c r="B78" t="s">
        <v>9</v>
      </c>
      <c r="C78" s="11"/>
      <c r="D78" s="11">
        <v>150000</v>
      </c>
      <c r="E78" t="s">
        <v>250</v>
      </c>
      <c r="F78" s="116" t="s">
        <v>111</v>
      </c>
    </row>
    <row r="79" spans="1:6" x14ac:dyDescent="0.3">
      <c r="A79" s="43">
        <v>45952</v>
      </c>
      <c r="B79" t="s">
        <v>97</v>
      </c>
      <c r="C79" s="11">
        <v>150000</v>
      </c>
      <c r="D79" s="11"/>
      <c r="E79" t="s">
        <v>250</v>
      </c>
      <c r="F79" s="116" t="s">
        <v>111</v>
      </c>
    </row>
    <row r="80" spans="1:6" x14ac:dyDescent="0.3">
      <c r="A80" s="43">
        <v>45952</v>
      </c>
      <c r="B80" t="s">
        <v>174</v>
      </c>
      <c r="C80" s="11">
        <v>244675</v>
      </c>
      <c r="D80" s="11"/>
      <c r="E80" t="s">
        <v>250</v>
      </c>
      <c r="F80" s="116" t="s">
        <v>111</v>
      </c>
    </row>
    <row r="81" spans="1:6" x14ac:dyDescent="0.3">
      <c r="A81" s="43">
        <v>45952</v>
      </c>
      <c r="B81" t="s">
        <v>55</v>
      </c>
      <c r="C81" s="11">
        <v>3310</v>
      </c>
      <c r="D81" s="11"/>
      <c r="E81" t="s">
        <v>256</v>
      </c>
      <c r="F81" s="116" t="s">
        <v>111</v>
      </c>
    </row>
    <row r="82" spans="1:6" x14ac:dyDescent="0.3">
      <c r="A82" s="43">
        <v>45952</v>
      </c>
      <c r="B82" t="s">
        <v>21</v>
      </c>
      <c r="C82" s="11"/>
      <c r="D82" s="11">
        <v>1600</v>
      </c>
      <c r="E82" t="s">
        <v>257</v>
      </c>
      <c r="F82" s="116" t="s">
        <v>111</v>
      </c>
    </row>
    <row r="83" spans="1:6" x14ac:dyDescent="0.3">
      <c r="A83" s="115">
        <v>45952</v>
      </c>
      <c r="B83" t="s">
        <v>212</v>
      </c>
      <c r="C83" s="11">
        <v>3000</v>
      </c>
      <c r="D83" s="11"/>
      <c r="E83" t="s">
        <v>265</v>
      </c>
      <c r="F83" s="116" t="s">
        <v>112</v>
      </c>
    </row>
    <row r="84" spans="1:6" x14ac:dyDescent="0.3">
      <c r="A84" s="43">
        <v>45952</v>
      </c>
      <c r="B84" t="s">
        <v>54</v>
      </c>
      <c r="C84" s="11">
        <v>1600</v>
      </c>
      <c r="D84" s="11"/>
      <c r="E84" t="s">
        <v>257</v>
      </c>
      <c r="F84" s="116" t="s">
        <v>111</v>
      </c>
    </row>
    <row r="85" spans="1:6" x14ac:dyDescent="0.3">
      <c r="A85" s="43">
        <v>45953</v>
      </c>
      <c r="B85" t="s">
        <v>97</v>
      </c>
      <c r="C85" s="11">
        <v>45250</v>
      </c>
      <c r="D85" s="11"/>
      <c r="E85" t="s">
        <v>258</v>
      </c>
      <c r="F85" s="116" t="s">
        <v>111</v>
      </c>
    </row>
    <row r="86" spans="1:6" x14ac:dyDescent="0.3">
      <c r="A86" s="43">
        <v>45953</v>
      </c>
      <c r="B86" t="s">
        <v>54</v>
      </c>
      <c r="C86" s="11">
        <v>1000</v>
      </c>
      <c r="D86" s="11"/>
      <c r="E86" t="s">
        <v>248</v>
      </c>
      <c r="F86" s="116" t="s">
        <v>112</v>
      </c>
    </row>
    <row r="87" spans="1:6" x14ac:dyDescent="0.3">
      <c r="A87" s="43">
        <v>45953</v>
      </c>
      <c r="B87" t="s">
        <v>9</v>
      </c>
      <c r="C87" s="11"/>
      <c r="D87" s="11">
        <v>160934</v>
      </c>
      <c r="E87" t="s">
        <v>250</v>
      </c>
      <c r="F87" s="116" t="s">
        <v>111</v>
      </c>
    </row>
    <row r="88" spans="1:6" x14ac:dyDescent="0.3">
      <c r="A88" s="43">
        <v>45953</v>
      </c>
      <c r="B88" t="s">
        <v>9</v>
      </c>
      <c r="C88" s="11"/>
      <c r="D88" s="11">
        <v>176300</v>
      </c>
      <c r="E88" t="s">
        <v>259</v>
      </c>
      <c r="F88" s="116" t="s">
        <v>111</v>
      </c>
    </row>
    <row r="89" spans="1:6" x14ac:dyDescent="0.3">
      <c r="A89" s="43">
        <v>45953</v>
      </c>
      <c r="B89" t="s">
        <v>222</v>
      </c>
      <c r="C89" s="11">
        <v>25000</v>
      </c>
      <c r="D89" s="11"/>
      <c r="E89" t="s">
        <v>223</v>
      </c>
      <c r="F89" s="116" t="s">
        <v>112</v>
      </c>
    </row>
    <row r="90" spans="1:6" x14ac:dyDescent="0.3">
      <c r="A90" s="43">
        <v>45953</v>
      </c>
      <c r="B90" t="s">
        <v>191</v>
      </c>
      <c r="C90" s="11">
        <v>5000</v>
      </c>
      <c r="D90" s="11"/>
      <c r="E90" t="s">
        <v>260</v>
      </c>
      <c r="F90" s="116" t="s">
        <v>112</v>
      </c>
    </row>
    <row r="91" spans="1:6" x14ac:dyDescent="0.3">
      <c r="A91" s="43">
        <v>45953</v>
      </c>
      <c r="B91" t="s">
        <v>116</v>
      </c>
      <c r="C91" s="11">
        <v>18245</v>
      </c>
      <c r="D91" s="11"/>
      <c r="E91" t="s">
        <v>261</v>
      </c>
      <c r="F91" s="116" t="s">
        <v>111</v>
      </c>
    </row>
    <row r="92" spans="1:6" x14ac:dyDescent="0.3">
      <c r="A92" s="43">
        <v>45953</v>
      </c>
      <c r="B92" t="s">
        <v>55</v>
      </c>
      <c r="C92" s="11">
        <v>7450</v>
      </c>
      <c r="D92" s="11"/>
      <c r="E92" t="s">
        <v>262</v>
      </c>
      <c r="F92" s="116" t="s">
        <v>111</v>
      </c>
    </row>
    <row r="93" spans="1:6" x14ac:dyDescent="0.3">
      <c r="A93" s="43">
        <v>45953</v>
      </c>
      <c r="B93" t="s">
        <v>55</v>
      </c>
      <c r="C93" s="11">
        <v>2100</v>
      </c>
      <c r="D93" s="11"/>
      <c r="E93" t="s">
        <v>263</v>
      </c>
      <c r="F93" s="116" t="s">
        <v>111</v>
      </c>
    </row>
    <row r="94" spans="1:6" x14ac:dyDescent="0.3">
      <c r="A94" s="43">
        <v>45953</v>
      </c>
      <c r="B94" t="s">
        <v>97</v>
      </c>
      <c r="C94" s="11">
        <v>250000</v>
      </c>
      <c r="D94" s="11"/>
      <c r="E94" t="s">
        <v>264</v>
      </c>
      <c r="F94" s="116" t="s">
        <v>111</v>
      </c>
    </row>
    <row r="95" spans="1:6" x14ac:dyDescent="0.3">
      <c r="A95" s="43">
        <v>45953</v>
      </c>
      <c r="B95" t="s">
        <v>212</v>
      </c>
      <c r="C95" s="11">
        <v>3500</v>
      </c>
      <c r="D95" s="11"/>
      <c r="E95" t="s">
        <v>265</v>
      </c>
      <c r="F95" s="116" t="s">
        <v>112</v>
      </c>
    </row>
    <row r="96" spans="1:6" x14ac:dyDescent="0.3">
      <c r="A96" s="43">
        <v>45953</v>
      </c>
      <c r="B96" t="s">
        <v>209</v>
      </c>
      <c r="C96" s="11">
        <v>5000</v>
      </c>
      <c r="D96" s="11"/>
      <c r="E96" t="s">
        <v>266</v>
      </c>
      <c r="F96" s="116" t="s">
        <v>112</v>
      </c>
    </row>
    <row r="97" spans="1:6" x14ac:dyDescent="0.3">
      <c r="A97" s="43">
        <v>45953</v>
      </c>
      <c r="B97" t="s">
        <v>50</v>
      </c>
      <c r="C97" s="11">
        <v>300</v>
      </c>
      <c r="D97" s="11"/>
      <c r="E97" t="s">
        <v>267</v>
      </c>
      <c r="F97" s="116" t="s">
        <v>111</v>
      </c>
    </row>
    <row r="98" spans="1:6" x14ac:dyDescent="0.3">
      <c r="A98" s="43">
        <v>45954</v>
      </c>
      <c r="B98" t="s">
        <v>54</v>
      </c>
      <c r="C98" s="11">
        <v>5311</v>
      </c>
      <c r="D98" s="11"/>
      <c r="E98" t="s">
        <v>231</v>
      </c>
      <c r="F98" s="116" t="s">
        <v>112</v>
      </c>
    </row>
    <row r="99" spans="1:6" x14ac:dyDescent="0.3">
      <c r="A99" s="43">
        <v>45954</v>
      </c>
      <c r="B99" t="s">
        <v>54</v>
      </c>
      <c r="C99" s="11">
        <v>1800</v>
      </c>
      <c r="D99" s="11"/>
      <c r="E99" t="s">
        <v>268</v>
      </c>
      <c r="F99" s="116" t="s">
        <v>111</v>
      </c>
    </row>
    <row r="100" spans="1:6" x14ac:dyDescent="0.3">
      <c r="A100" s="43">
        <v>45954</v>
      </c>
      <c r="B100" t="s">
        <v>55</v>
      </c>
      <c r="C100" s="11">
        <v>30000</v>
      </c>
      <c r="D100" s="11"/>
      <c r="E100" t="s">
        <v>269</v>
      </c>
      <c r="F100" s="116" t="s">
        <v>111</v>
      </c>
    </row>
    <row r="101" spans="1:6" x14ac:dyDescent="0.3">
      <c r="A101" s="43">
        <v>45954</v>
      </c>
      <c r="B101" t="s">
        <v>21</v>
      </c>
      <c r="C101" s="11"/>
      <c r="D101" s="11">
        <v>30000</v>
      </c>
      <c r="E101" t="s">
        <v>269</v>
      </c>
      <c r="F101" s="116" t="s">
        <v>111</v>
      </c>
    </row>
    <row r="102" spans="1:6" x14ac:dyDescent="0.3">
      <c r="A102" s="43">
        <v>45954</v>
      </c>
      <c r="B102" t="s">
        <v>52</v>
      </c>
      <c r="C102" s="11"/>
      <c r="D102" s="11"/>
      <c r="E102" t="s">
        <v>270</v>
      </c>
      <c r="F102" s="116" t="s">
        <v>111</v>
      </c>
    </row>
    <row r="103" spans="1:6" x14ac:dyDescent="0.3">
      <c r="A103" s="43">
        <v>45954</v>
      </c>
      <c r="B103" t="s">
        <v>55</v>
      </c>
      <c r="C103" s="11">
        <v>6600</v>
      </c>
      <c r="D103" s="11"/>
      <c r="E103" t="s">
        <v>271</v>
      </c>
      <c r="F103" s="116" t="s">
        <v>111</v>
      </c>
    </row>
    <row r="104" spans="1:6" x14ac:dyDescent="0.3">
      <c r="A104" s="43">
        <v>45954</v>
      </c>
      <c r="B104" t="s">
        <v>55</v>
      </c>
      <c r="C104" s="11">
        <v>3500</v>
      </c>
      <c r="D104" s="11"/>
      <c r="E104" t="s">
        <v>272</v>
      </c>
      <c r="F104" s="116" t="s">
        <v>111</v>
      </c>
    </row>
    <row r="105" spans="1:6" x14ac:dyDescent="0.3">
      <c r="A105" s="43">
        <v>45954</v>
      </c>
      <c r="B105" t="s">
        <v>55</v>
      </c>
      <c r="C105" s="11">
        <v>800</v>
      </c>
      <c r="D105" s="11"/>
      <c r="E105" t="s">
        <v>273</v>
      </c>
      <c r="F105" s="116" t="s">
        <v>111</v>
      </c>
    </row>
    <row r="106" spans="1:6" x14ac:dyDescent="0.3">
      <c r="A106" s="43">
        <v>45954</v>
      </c>
      <c r="B106" t="s">
        <v>55</v>
      </c>
      <c r="C106" s="11">
        <v>1000</v>
      </c>
      <c r="D106" s="11"/>
      <c r="E106" t="s">
        <v>274</v>
      </c>
      <c r="F106" s="116" t="s">
        <v>111</v>
      </c>
    </row>
    <row r="107" spans="1:6" x14ac:dyDescent="0.3">
      <c r="A107" s="43">
        <v>45954</v>
      </c>
      <c r="B107" t="s">
        <v>21</v>
      </c>
      <c r="C107" s="11"/>
      <c r="D107" s="11">
        <v>10500</v>
      </c>
      <c r="F107" s="116" t="s">
        <v>111</v>
      </c>
    </row>
    <row r="108" spans="1:6" x14ac:dyDescent="0.3">
      <c r="A108" s="43">
        <v>45954</v>
      </c>
      <c r="B108" t="s">
        <v>55</v>
      </c>
      <c r="C108" s="11">
        <v>10500</v>
      </c>
      <c r="D108" s="11"/>
      <c r="E108" t="s">
        <v>275</v>
      </c>
      <c r="F108" s="116" t="s">
        <v>111</v>
      </c>
    </row>
    <row r="109" spans="1:6" x14ac:dyDescent="0.3">
      <c r="A109" s="43">
        <v>45954</v>
      </c>
      <c r="B109" t="s">
        <v>227</v>
      </c>
      <c r="C109" s="11"/>
      <c r="D109" s="11">
        <v>98000</v>
      </c>
      <c r="E109" t="s">
        <v>276</v>
      </c>
      <c r="F109" s="116" t="s">
        <v>111</v>
      </c>
    </row>
    <row r="110" spans="1:6" x14ac:dyDescent="0.3">
      <c r="A110" s="43">
        <v>45954</v>
      </c>
      <c r="B110" t="s">
        <v>277</v>
      </c>
      <c r="C110" s="11">
        <v>250000</v>
      </c>
      <c r="D110" s="11"/>
      <c r="E110" t="s">
        <v>278</v>
      </c>
      <c r="F110" s="116" t="s">
        <v>111</v>
      </c>
    </row>
    <row r="111" spans="1:6" x14ac:dyDescent="0.3">
      <c r="A111" s="43">
        <v>45954</v>
      </c>
      <c r="B111" t="s">
        <v>21</v>
      </c>
      <c r="C111" s="117"/>
      <c r="D111" s="117">
        <v>250000</v>
      </c>
      <c r="E111" t="s">
        <v>279</v>
      </c>
      <c r="F111" s="116" t="s">
        <v>111</v>
      </c>
    </row>
    <row r="112" spans="1:6" x14ac:dyDescent="0.3">
      <c r="A112" s="43">
        <v>45954</v>
      </c>
      <c r="B112" t="s">
        <v>97</v>
      </c>
      <c r="C112" s="117">
        <v>52060</v>
      </c>
      <c r="D112" s="117"/>
      <c r="E112" t="s">
        <v>280</v>
      </c>
      <c r="F112" s="116" t="s">
        <v>111</v>
      </c>
    </row>
    <row r="113" spans="1:6" x14ac:dyDescent="0.3">
      <c r="A113" s="43">
        <v>45954</v>
      </c>
      <c r="B113" t="s">
        <v>21</v>
      </c>
      <c r="C113" s="117"/>
      <c r="D113" s="117">
        <v>200000</v>
      </c>
      <c r="E113" t="s">
        <v>250</v>
      </c>
      <c r="F113" s="116" t="s">
        <v>111</v>
      </c>
    </row>
    <row r="114" spans="1:6" x14ac:dyDescent="0.3">
      <c r="A114" s="43">
        <v>45954</v>
      </c>
      <c r="B114" t="s">
        <v>97</v>
      </c>
      <c r="C114" s="11">
        <v>200000</v>
      </c>
      <c r="D114" s="11"/>
      <c r="E114" t="s">
        <v>250</v>
      </c>
      <c r="F114" s="116" t="s">
        <v>111</v>
      </c>
    </row>
    <row r="115" spans="1:6" x14ac:dyDescent="0.3">
      <c r="A115" s="43">
        <v>45955</v>
      </c>
      <c r="B115" t="s">
        <v>194</v>
      </c>
      <c r="C115" s="11">
        <v>600</v>
      </c>
      <c r="D115" s="11"/>
      <c r="F115" s="116" t="s">
        <v>111</v>
      </c>
    </row>
    <row r="116" spans="1:6" x14ac:dyDescent="0.3">
      <c r="A116" s="43">
        <v>45955</v>
      </c>
      <c r="B116" t="s">
        <v>50</v>
      </c>
      <c r="C116" s="11">
        <v>1420</v>
      </c>
      <c r="D116" s="11"/>
      <c r="F116" s="116" t="s">
        <v>112</v>
      </c>
    </row>
    <row r="117" spans="1:6" x14ac:dyDescent="0.3">
      <c r="A117" s="43">
        <v>45955</v>
      </c>
      <c r="B117" t="s">
        <v>97</v>
      </c>
      <c r="C117" s="11">
        <v>50000</v>
      </c>
      <c r="D117" s="11"/>
      <c r="E117" t="s">
        <v>281</v>
      </c>
      <c r="F117" s="116" t="s">
        <v>111</v>
      </c>
    </row>
    <row r="118" spans="1:6" x14ac:dyDescent="0.3">
      <c r="A118" s="43">
        <v>45955</v>
      </c>
      <c r="C118" s="11"/>
      <c r="D118" s="11"/>
      <c r="F118" s="116"/>
    </row>
    <row r="119" spans="1:6" x14ac:dyDescent="0.3">
      <c r="A119" s="43">
        <v>45955</v>
      </c>
      <c r="B119" t="s">
        <v>21</v>
      </c>
      <c r="C119" s="11"/>
      <c r="D119" s="11">
        <v>100000</v>
      </c>
      <c r="E119" t="s">
        <v>282</v>
      </c>
      <c r="F119" s="116" t="s">
        <v>111</v>
      </c>
    </row>
    <row r="120" spans="1:6" x14ac:dyDescent="0.3">
      <c r="A120" s="43">
        <v>45955</v>
      </c>
      <c r="B120" t="s">
        <v>116</v>
      </c>
      <c r="C120" s="11">
        <v>20000</v>
      </c>
      <c r="D120" s="11"/>
      <c r="E120" t="s">
        <v>283</v>
      </c>
      <c r="F120" s="116" t="s">
        <v>111</v>
      </c>
    </row>
    <row r="121" spans="1:6" x14ac:dyDescent="0.3">
      <c r="A121" s="43">
        <v>45955</v>
      </c>
      <c r="B121" t="s">
        <v>35</v>
      </c>
      <c r="C121" s="11"/>
      <c r="D121" s="11">
        <v>179000</v>
      </c>
      <c r="F121" s="116" t="s">
        <v>111</v>
      </c>
    </row>
    <row r="122" spans="1:6" x14ac:dyDescent="0.3">
      <c r="A122" s="43">
        <v>45955</v>
      </c>
      <c r="B122" t="s">
        <v>97</v>
      </c>
      <c r="C122" s="11">
        <v>72900</v>
      </c>
      <c r="D122" s="11"/>
      <c r="E122" t="s">
        <v>284</v>
      </c>
      <c r="F122" s="116" t="s">
        <v>111</v>
      </c>
    </row>
    <row r="123" spans="1:6" x14ac:dyDescent="0.3">
      <c r="A123" s="43">
        <v>45955</v>
      </c>
      <c r="B123" t="s">
        <v>222</v>
      </c>
      <c r="C123" s="11">
        <v>15000</v>
      </c>
      <c r="D123" s="11"/>
      <c r="E123" t="s">
        <v>223</v>
      </c>
      <c r="F123" s="116" t="s">
        <v>111</v>
      </c>
    </row>
    <row r="124" spans="1:6" x14ac:dyDescent="0.3">
      <c r="A124" s="43">
        <v>45955</v>
      </c>
      <c r="B124" t="s">
        <v>152</v>
      </c>
      <c r="C124" s="11">
        <v>100000</v>
      </c>
      <c r="D124" s="11"/>
      <c r="E124" t="s">
        <v>285</v>
      </c>
      <c r="F124" s="116" t="s">
        <v>111</v>
      </c>
    </row>
    <row r="125" spans="1:6" x14ac:dyDescent="0.3">
      <c r="A125" s="43">
        <v>45955</v>
      </c>
      <c r="B125" t="s">
        <v>212</v>
      </c>
      <c r="C125" s="11">
        <v>5600</v>
      </c>
      <c r="D125" s="11"/>
      <c r="E125" t="s">
        <v>220</v>
      </c>
      <c r="F125" s="116" t="s">
        <v>112</v>
      </c>
    </row>
    <row r="126" spans="1:6" x14ac:dyDescent="0.3">
      <c r="A126" s="43">
        <v>45955</v>
      </c>
      <c r="B126" t="s">
        <v>50</v>
      </c>
      <c r="C126" s="11">
        <v>420</v>
      </c>
      <c r="D126" s="11"/>
      <c r="E126" t="s">
        <v>286</v>
      </c>
      <c r="F126" s="116" t="s">
        <v>112</v>
      </c>
    </row>
    <row r="127" spans="1:6" x14ac:dyDescent="0.3">
      <c r="A127" s="43">
        <v>45955</v>
      </c>
      <c r="B127" t="s">
        <v>52</v>
      </c>
      <c r="C127" s="11"/>
      <c r="D127" s="11"/>
      <c r="E127" t="s">
        <v>225</v>
      </c>
      <c r="F127" s="116" t="s">
        <v>112</v>
      </c>
    </row>
    <row r="128" spans="1:6" x14ac:dyDescent="0.3">
      <c r="A128" s="43">
        <v>45955</v>
      </c>
      <c r="B128" t="s">
        <v>180</v>
      </c>
      <c r="C128" s="117"/>
      <c r="D128" s="117">
        <v>400000</v>
      </c>
      <c r="F128" s="116" t="s">
        <v>111</v>
      </c>
    </row>
    <row r="129" spans="1:6" x14ac:dyDescent="0.3">
      <c r="A129" s="43">
        <v>45955</v>
      </c>
      <c r="B129" t="s">
        <v>118</v>
      </c>
      <c r="C129" s="11">
        <v>100000</v>
      </c>
      <c r="D129" s="11"/>
      <c r="F129" s="116" t="s">
        <v>111</v>
      </c>
    </row>
    <row r="130" spans="1:6" x14ac:dyDescent="0.3">
      <c r="A130" s="43">
        <v>45955</v>
      </c>
      <c r="B130" t="s">
        <v>97</v>
      </c>
      <c r="C130" s="11">
        <v>204021</v>
      </c>
      <c r="D130" s="11"/>
      <c r="E130" t="s">
        <v>287</v>
      </c>
      <c r="F130" s="116" t="s">
        <v>111</v>
      </c>
    </row>
    <row r="131" spans="1:6" x14ac:dyDescent="0.3">
      <c r="A131" s="43">
        <v>45955</v>
      </c>
      <c r="B131" t="s">
        <v>55</v>
      </c>
      <c r="C131" s="11">
        <v>20000</v>
      </c>
      <c r="D131" s="11"/>
      <c r="E131" t="s">
        <v>288</v>
      </c>
      <c r="F131" s="116" t="s">
        <v>111</v>
      </c>
    </row>
    <row r="132" spans="1:6" x14ac:dyDescent="0.3">
      <c r="A132" s="43">
        <v>45956</v>
      </c>
      <c r="B132" t="s">
        <v>201</v>
      </c>
      <c r="C132" s="11"/>
      <c r="D132" s="11">
        <v>414511</v>
      </c>
      <c r="F132" s="116" t="s">
        <v>111</v>
      </c>
    </row>
    <row r="133" spans="1:6" x14ac:dyDescent="0.3">
      <c r="A133" s="43">
        <v>45956</v>
      </c>
      <c r="B133" t="s">
        <v>97</v>
      </c>
      <c r="C133" s="11">
        <v>53700</v>
      </c>
      <c r="D133" s="11"/>
      <c r="E133" t="s">
        <v>291</v>
      </c>
      <c r="F133" s="116" t="s">
        <v>111</v>
      </c>
    </row>
    <row r="134" spans="1:6" x14ac:dyDescent="0.3">
      <c r="A134" s="43">
        <v>45956</v>
      </c>
      <c r="B134" t="s">
        <v>97</v>
      </c>
      <c r="C134" s="11">
        <v>76850</v>
      </c>
      <c r="D134" s="11"/>
      <c r="E134" t="s">
        <v>189</v>
      </c>
      <c r="F134" s="116" t="s">
        <v>111</v>
      </c>
    </row>
    <row r="135" spans="1:6" x14ac:dyDescent="0.3">
      <c r="A135" s="43">
        <v>45956</v>
      </c>
      <c r="B135" t="s">
        <v>50</v>
      </c>
      <c r="C135" s="11">
        <v>2600</v>
      </c>
      <c r="D135" s="11"/>
      <c r="E135" t="s">
        <v>292</v>
      </c>
      <c r="F135" s="116" t="s">
        <v>111</v>
      </c>
    </row>
    <row r="136" spans="1:6" x14ac:dyDescent="0.3">
      <c r="A136" s="43">
        <v>45956</v>
      </c>
      <c r="B136" t="s">
        <v>52</v>
      </c>
      <c r="C136" s="11"/>
      <c r="D136" s="11"/>
      <c r="E136" t="s">
        <v>293</v>
      </c>
      <c r="F136" s="116" t="s">
        <v>111</v>
      </c>
    </row>
    <row r="137" spans="1:6" x14ac:dyDescent="0.3">
      <c r="A137" s="43">
        <v>45956</v>
      </c>
      <c r="B137" t="s">
        <v>55</v>
      </c>
      <c r="C137" s="11">
        <v>20000</v>
      </c>
      <c r="D137" s="11"/>
      <c r="E137" t="s">
        <v>288</v>
      </c>
      <c r="F137" s="116" t="s">
        <v>111</v>
      </c>
    </row>
    <row r="138" spans="1:6" x14ac:dyDescent="0.3">
      <c r="A138" s="43">
        <v>45956</v>
      </c>
      <c r="B138" t="s">
        <v>294</v>
      </c>
      <c r="C138" s="11">
        <v>80000</v>
      </c>
      <c r="D138" s="11"/>
      <c r="E138" t="s">
        <v>295</v>
      </c>
      <c r="F138" s="116" t="s">
        <v>111</v>
      </c>
    </row>
    <row r="139" spans="1:6" x14ac:dyDescent="0.3">
      <c r="A139" s="43">
        <v>45956</v>
      </c>
      <c r="B139" t="s">
        <v>296</v>
      </c>
      <c r="C139" s="11"/>
      <c r="D139" s="11">
        <v>300000</v>
      </c>
      <c r="E139" t="s">
        <v>297</v>
      </c>
      <c r="F139" s="116" t="s">
        <v>111</v>
      </c>
    </row>
    <row r="140" spans="1:6" x14ac:dyDescent="0.3">
      <c r="A140" s="43">
        <v>45956</v>
      </c>
      <c r="B140" t="s">
        <v>294</v>
      </c>
      <c r="C140" s="11">
        <v>300000</v>
      </c>
      <c r="D140" s="11"/>
      <c r="E140" t="s">
        <v>298</v>
      </c>
      <c r="F140" s="116" t="s">
        <v>111</v>
      </c>
    </row>
    <row r="141" spans="1:6" x14ac:dyDescent="0.3">
      <c r="A141" s="43">
        <v>45957</v>
      </c>
      <c r="B141" t="s">
        <v>52</v>
      </c>
      <c r="C141" s="11"/>
      <c r="D141" s="11"/>
      <c r="E141" t="s">
        <v>299</v>
      </c>
      <c r="F141" s="116" t="s">
        <v>111</v>
      </c>
    </row>
    <row r="142" spans="1:6" x14ac:dyDescent="0.3">
      <c r="A142" s="43">
        <v>45957</v>
      </c>
      <c r="B142" t="s">
        <v>52</v>
      </c>
      <c r="C142" s="11"/>
      <c r="D142" s="11"/>
      <c r="E142" t="s">
        <v>192</v>
      </c>
      <c r="F142" s="116" t="s">
        <v>111</v>
      </c>
    </row>
    <row r="143" spans="1:6" x14ac:dyDescent="0.3">
      <c r="A143" s="43">
        <v>45957</v>
      </c>
      <c r="B143" t="s">
        <v>97</v>
      </c>
      <c r="C143" s="11">
        <v>45335</v>
      </c>
      <c r="D143" s="11"/>
      <c r="E143" t="s">
        <v>300</v>
      </c>
      <c r="F143" s="116" t="s">
        <v>111</v>
      </c>
    </row>
    <row r="144" spans="1:6" x14ac:dyDescent="0.3">
      <c r="A144" s="43">
        <v>45957</v>
      </c>
      <c r="B144" t="s">
        <v>120</v>
      </c>
      <c r="C144" s="11">
        <v>353250</v>
      </c>
      <c r="D144" s="11"/>
      <c r="E144" t="s">
        <v>301</v>
      </c>
      <c r="F144" s="116" t="s">
        <v>111</v>
      </c>
    </row>
    <row r="145" spans="1:6" x14ac:dyDescent="0.3">
      <c r="A145" s="43">
        <v>45957</v>
      </c>
      <c r="B145" t="s">
        <v>302</v>
      </c>
      <c r="C145" s="11"/>
      <c r="D145" s="11">
        <v>256200</v>
      </c>
      <c r="E145" t="s">
        <v>303</v>
      </c>
      <c r="F145" s="116" t="s">
        <v>111</v>
      </c>
    </row>
    <row r="146" spans="1:6" x14ac:dyDescent="0.3">
      <c r="A146" s="43">
        <v>45957</v>
      </c>
      <c r="B146" t="s">
        <v>304</v>
      </c>
      <c r="C146" s="11"/>
      <c r="D146" s="11">
        <v>95000</v>
      </c>
      <c r="F146" s="116" t="s">
        <v>111</v>
      </c>
    </row>
    <row r="147" spans="1:6" x14ac:dyDescent="0.3">
      <c r="A147" s="43">
        <v>45957</v>
      </c>
      <c r="B147" t="s">
        <v>212</v>
      </c>
      <c r="C147" s="11"/>
      <c r="D147" s="11">
        <v>2050</v>
      </c>
      <c r="E147" t="s">
        <v>305</v>
      </c>
      <c r="F147" s="116" t="s">
        <v>111</v>
      </c>
    </row>
    <row r="148" spans="1:6" x14ac:dyDescent="0.3">
      <c r="A148" s="43">
        <v>45956</v>
      </c>
      <c r="B148" t="s">
        <v>212</v>
      </c>
      <c r="C148" s="11">
        <v>3000</v>
      </c>
      <c r="D148" s="11"/>
      <c r="E148" t="s">
        <v>306</v>
      </c>
      <c r="F148" s="116" t="s">
        <v>111</v>
      </c>
    </row>
    <row r="149" spans="1:6" x14ac:dyDescent="0.3">
      <c r="A149" s="43">
        <v>45957</v>
      </c>
      <c r="B149" t="s">
        <v>55</v>
      </c>
      <c r="C149" s="11">
        <v>3300</v>
      </c>
      <c r="D149" s="11"/>
      <c r="F149" s="116" t="s">
        <v>111</v>
      </c>
    </row>
    <row r="150" spans="1:6" x14ac:dyDescent="0.3">
      <c r="A150" s="43">
        <v>45957</v>
      </c>
      <c r="B150" t="s">
        <v>55</v>
      </c>
      <c r="C150" s="11">
        <v>13750</v>
      </c>
      <c r="D150" s="11"/>
      <c r="F150" s="116" t="s">
        <v>111</v>
      </c>
    </row>
    <row r="151" spans="1:6" x14ac:dyDescent="0.3">
      <c r="A151" s="43">
        <v>45957</v>
      </c>
      <c r="B151" t="s">
        <v>55</v>
      </c>
      <c r="C151" s="11">
        <v>5500</v>
      </c>
      <c r="D151" s="11"/>
      <c r="F151" s="116" t="s">
        <v>111</v>
      </c>
    </row>
    <row r="152" spans="1:6" x14ac:dyDescent="0.3">
      <c r="A152" s="43">
        <v>45957</v>
      </c>
      <c r="B152" t="s">
        <v>52</v>
      </c>
      <c r="C152" s="117"/>
      <c r="D152" s="117"/>
      <c r="E152" t="s">
        <v>270</v>
      </c>
      <c r="F152" s="116" t="s">
        <v>111</v>
      </c>
    </row>
    <row r="153" spans="1:6" x14ac:dyDescent="0.3">
      <c r="A153" s="43">
        <v>45957</v>
      </c>
      <c r="B153" t="s">
        <v>194</v>
      </c>
      <c r="C153" s="117">
        <v>500</v>
      </c>
      <c r="D153" s="117"/>
      <c r="F153" s="116" t="s">
        <v>112</v>
      </c>
    </row>
    <row r="154" spans="1:6" x14ac:dyDescent="0.3">
      <c r="A154" s="115">
        <v>45958</v>
      </c>
      <c r="B154" t="s">
        <v>24</v>
      </c>
      <c r="C154" s="11"/>
      <c r="D154" s="11">
        <v>1000000</v>
      </c>
      <c r="E154" t="s">
        <v>307</v>
      </c>
      <c r="F154" s="116" t="s">
        <v>111</v>
      </c>
    </row>
    <row r="155" spans="1:6" x14ac:dyDescent="0.3">
      <c r="A155" s="115">
        <v>45958</v>
      </c>
      <c r="B155" t="s">
        <v>97</v>
      </c>
      <c r="C155" s="11">
        <v>350000</v>
      </c>
      <c r="D155" s="11"/>
      <c r="E155" t="s">
        <v>308</v>
      </c>
      <c r="F155" s="116" t="s">
        <v>111</v>
      </c>
    </row>
    <row r="156" spans="1:6" x14ac:dyDescent="0.3">
      <c r="A156" s="115">
        <v>45958</v>
      </c>
      <c r="B156" t="s">
        <v>97</v>
      </c>
      <c r="C156" s="11">
        <v>49850</v>
      </c>
      <c r="D156" s="11"/>
      <c r="E156" t="s">
        <v>219</v>
      </c>
      <c r="F156" s="116" t="s">
        <v>111</v>
      </c>
    </row>
    <row r="157" spans="1:6" x14ac:dyDescent="0.3">
      <c r="A157" s="115">
        <v>45958</v>
      </c>
      <c r="B157" t="s">
        <v>54</v>
      </c>
      <c r="C157" s="11">
        <v>2000</v>
      </c>
      <c r="D157" s="11"/>
      <c r="E157" t="s">
        <v>309</v>
      </c>
      <c r="F157" s="116" t="s">
        <v>111</v>
      </c>
    </row>
    <row r="158" spans="1:6" x14ac:dyDescent="0.3">
      <c r="A158" s="115">
        <v>45958</v>
      </c>
      <c r="B158" t="s">
        <v>55</v>
      </c>
      <c r="C158" s="11">
        <v>1200</v>
      </c>
      <c r="D158" s="11"/>
      <c r="E158" t="s">
        <v>310</v>
      </c>
      <c r="F158" s="116" t="s">
        <v>111</v>
      </c>
    </row>
    <row r="159" spans="1:6" x14ac:dyDescent="0.3">
      <c r="A159" s="115">
        <v>45958</v>
      </c>
      <c r="B159" t="s">
        <v>50</v>
      </c>
      <c r="C159" s="117">
        <v>180</v>
      </c>
      <c r="D159" s="117"/>
      <c r="E159" t="s">
        <v>311</v>
      </c>
      <c r="F159" s="116" t="s">
        <v>111</v>
      </c>
    </row>
    <row r="160" spans="1:6" x14ac:dyDescent="0.3">
      <c r="A160" s="115">
        <v>45958</v>
      </c>
      <c r="B160" t="s">
        <v>191</v>
      </c>
      <c r="C160" s="11">
        <v>10000</v>
      </c>
      <c r="D160" s="11"/>
      <c r="E160" t="s">
        <v>312</v>
      </c>
      <c r="F160" s="116" t="s">
        <v>111</v>
      </c>
    </row>
    <row r="161" spans="1:12" x14ac:dyDescent="0.3">
      <c r="A161" s="115">
        <v>45958</v>
      </c>
      <c r="B161" t="s">
        <v>170</v>
      </c>
      <c r="C161" s="117"/>
      <c r="D161" s="117">
        <v>140000</v>
      </c>
      <c r="F161" s="116" t="s">
        <v>111</v>
      </c>
    </row>
    <row r="162" spans="1:12" x14ac:dyDescent="0.3">
      <c r="A162" s="115">
        <v>45958</v>
      </c>
      <c r="B162" t="s">
        <v>52</v>
      </c>
      <c r="C162" s="11"/>
      <c r="D162" s="11"/>
      <c r="E162" t="s">
        <v>270</v>
      </c>
      <c r="F162" s="116" t="s">
        <v>111</v>
      </c>
    </row>
    <row r="163" spans="1:12" x14ac:dyDescent="0.3">
      <c r="A163" s="115">
        <v>45958</v>
      </c>
      <c r="B163" t="s">
        <v>191</v>
      </c>
      <c r="C163" s="11">
        <v>1500</v>
      </c>
      <c r="D163" s="11"/>
      <c r="E163" t="s">
        <v>317</v>
      </c>
      <c r="F163" s="116" t="s">
        <v>111</v>
      </c>
      <c r="J163" s="3" t="s">
        <v>6</v>
      </c>
      <c r="K163" t="s">
        <v>121</v>
      </c>
      <c r="L163" t="s">
        <v>122</v>
      </c>
    </row>
    <row r="164" spans="1:12" x14ac:dyDescent="0.3">
      <c r="A164" s="115">
        <v>45959</v>
      </c>
      <c r="B164" t="s">
        <v>54</v>
      </c>
      <c r="C164" s="11">
        <v>5303</v>
      </c>
      <c r="D164" s="11"/>
      <c r="E164" t="s">
        <v>231</v>
      </c>
      <c r="F164" s="116" t="s">
        <v>111</v>
      </c>
      <c r="J164" s="4" t="s">
        <v>191</v>
      </c>
      <c r="K164" s="14"/>
      <c r="L164" s="14">
        <v>67500</v>
      </c>
    </row>
    <row r="165" spans="1:12" x14ac:dyDescent="0.3">
      <c r="A165" s="115">
        <v>45959</v>
      </c>
      <c r="B165" t="s">
        <v>54</v>
      </c>
      <c r="C165" s="11">
        <v>1000</v>
      </c>
      <c r="D165" s="11"/>
      <c r="E165" t="s">
        <v>318</v>
      </c>
      <c r="F165" s="116" t="s">
        <v>111</v>
      </c>
      <c r="J165" s="4" t="s">
        <v>9</v>
      </c>
      <c r="K165" s="14">
        <v>1587234</v>
      </c>
      <c r="L165" s="14"/>
    </row>
    <row r="166" spans="1:12" x14ac:dyDescent="0.3">
      <c r="A166" s="115">
        <v>45959</v>
      </c>
      <c r="B166" t="s">
        <v>55</v>
      </c>
      <c r="C166" s="11">
        <v>2700</v>
      </c>
      <c r="D166" s="11"/>
      <c r="E166" t="s">
        <v>319</v>
      </c>
      <c r="F166" s="116" t="s">
        <v>111</v>
      </c>
      <c r="J166" s="4" t="s">
        <v>21</v>
      </c>
      <c r="K166" s="14">
        <v>4448163</v>
      </c>
      <c r="L166" s="14"/>
    </row>
    <row r="167" spans="1:12" x14ac:dyDescent="0.3">
      <c r="A167" s="115">
        <v>45959</v>
      </c>
      <c r="B167" t="s">
        <v>54</v>
      </c>
      <c r="C167" s="11">
        <v>1000</v>
      </c>
      <c r="D167" s="11"/>
      <c r="E167" t="s">
        <v>248</v>
      </c>
      <c r="F167" s="116" t="s">
        <v>112</v>
      </c>
      <c r="J167" s="4" t="s">
        <v>120</v>
      </c>
      <c r="K167" s="14"/>
      <c r="L167" s="14">
        <v>353250</v>
      </c>
    </row>
    <row r="168" spans="1:12" x14ac:dyDescent="0.3">
      <c r="A168" s="115">
        <v>45959</v>
      </c>
      <c r="B168" t="s">
        <v>55</v>
      </c>
      <c r="C168" s="11">
        <v>2340</v>
      </c>
      <c r="D168" s="11"/>
      <c r="F168" s="116" t="s">
        <v>111</v>
      </c>
      <c r="J168" s="4" t="s">
        <v>97</v>
      </c>
      <c r="K168" s="14"/>
      <c r="L168" s="14">
        <v>4310166</v>
      </c>
    </row>
    <row r="169" spans="1:12" x14ac:dyDescent="0.3">
      <c r="A169" s="115">
        <v>45959</v>
      </c>
      <c r="B169" t="s">
        <v>97</v>
      </c>
      <c r="C169" s="11">
        <v>48850</v>
      </c>
      <c r="D169" s="11"/>
      <c r="E169" t="s">
        <v>322</v>
      </c>
      <c r="F169" s="116" t="s">
        <v>111</v>
      </c>
      <c r="J169" s="4" t="s">
        <v>50</v>
      </c>
      <c r="K169" s="14"/>
      <c r="L169" s="14">
        <v>18830</v>
      </c>
    </row>
    <row r="170" spans="1:12" x14ac:dyDescent="0.3">
      <c r="A170" s="115">
        <v>45959</v>
      </c>
      <c r="B170" t="s">
        <v>97</v>
      </c>
      <c r="C170" s="11">
        <v>35000</v>
      </c>
      <c r="D170" s="11"/>
      <c r="E170" t="s">
        <v>321</v>
      </c>
      <c r="F170" s="116" t="s">
        <v>111</v>
      </c>
      <c r="J170" s="4" t="s">
        <v>55</v>
      </c>
      <c r="K170" s="14"/>
      <c r="L170" s="14">
        <v>302935</v>
      </c>
    </row>
    <row r="171" spans="1:12" x14ac:dyDescent="0.3">
      <c r="A171" s="115">
        <v>45959</v>
      </c>
      <c r="B171" t="s">
        <v>212</v>
      </c>
      <c r="C171" s="11">
        <v>2640</v>
      </c>
      <c r="D171" s="11"/>
      <c r="E171" t="s">
        <v>323</v>
      </c>
      <c r="F171" s="116" t="s">
        <v>111</v>
      </c>
      <c r="J171" s="4" t="s">
        <v>116</v>
      </c>
      <c r="K171" s="14"/>
      <c r="L171" s="14">
        <v>93055</v>
      </c>
    </row>
    <row r="172" spans="1:12" x14ac:dyDescent="0.3">
      <c r="A172" s="115">
        <v>45959</v>
      </c>
      <c r="B172" t="s">
        <v>212</v>
      </c>
      <c r="C172" s="11">
        <v>1000</v>
      </c>
      <c r="D172" s="11"/>
      <c r="E172" t="s">
        <v>324</v>
      </c>
      <c r="F172" s="116" t="s">
        <v>111</v>
      </c>
      <c r="J172" s="4" t="s">
        <v>52</v>
      </c>
      <c r="K172" s="14"/>
      <c r="L172" s="14">
        <v>60750</v>
      </c>
    </row>
    <row r="173" spans="1:12" x14ac:dyDescent="0.3">
      <c r="A173" s="115">
        <v>45959</v>
      </c>
      <c r="B173" t="s">
        <v>50</v>
      </c>
      <c r="C173" s="11">
        <v>1000</v>
      </c>
      <c r="D173" s="11"/>
      <c r="E173" t="s">
        <v>325</v>
      </c>
      <c r="F173" s="116" t="s">
        <v>111</v>
      </c>
      <c r="J173" s="4" t="s">
        <v>54</v>
      </c>
      <c r="K173" s="14"/>
      <c r="L173" s="14">
        <v>63740</v>
      </c>
    </row>
    <row r="174" spans="1:12" x14ac:dyDescent="0.3">
      <c r="A174" s="115">
        <v>45959</v>
      </c>
      <c r="B174" t="s">
        <v>170</v>
      </c>
      <c r="C174" s="11"/>
      <c r="D174" s="11">
        <v>160000</v>
      </c>
      <c r="F174" s="116" t="s">
        <v>111</v>
      </c>
      <c r="J174" s="4" t="s">
        <v>119</v>
      </c>
      <c r="K174" s="14"/>
      <c r="L174" s="14">
        <v>100000</v>
      </c>
    </row>
    <row r="175" spans="1:12" x14ac:dyDescent="0.3">
      <c r="A175" s="115">
        <v>45959</v>
      </c>
      <c r="B175" t="s">
        <v>24</v>
      </c>
      <c r="C175" s="11"/>
      <c r="D175" s="11">
        <v>500000</v>
      </c>
      <c r="E175" t="s">
        <v>326</v>
      </c>
      <c r="F175" s="116" t="s">
        <v>111</v>
      </c>
      <c r="J175" s="4" t="s">
        <v>212</v>
      </c>
      <c r="K175" s="14">
        <v>2050</v>
      </c>
      <c r="L175" s="14">
        <v>200229</v>
      </c>
    </row>
    <row r="176" spans="1:12" x14ac:dyDescent="0.3">
      <c r="A176" s="115">
        <v>45959</v>
      </c>
      <c r="B176" t="s">
        <v>294</v>
      </c>
      <c r="C176" s="11">
        <v>169000</v>
      </c>
      <c r="D176" s="11"/>
      <c r="E176" t="s">
        <v>327</v>
      </c>
      <c r="F176" s="116" t="s">
        <v>111</v>
      </c>
      <c r="J176" s="4" t="s">
        <v>209</v>
      </c>
      <c r="K176" s="14">
        <v>504000</v>
      </c>
      <c r="L176" s="14">
        <v>5000</v>
      </c>
    </row>
    <row r="177" spans="1:12" x14ac:dyDescent="0.3">
      <c r="A177" s="115">
        <v>45959</v>
      </c>
      <c r="B177" t="s">
        <v>170</v>
      </c>
      <c r="C177" s="11"/>
      <c r="D177" s="11">
        <v>200000</v>
      </c>
      <c r="E177" t="s">
        <v>328</v>
      </c>
      <c r="F177" s="116" t="s">
        <v>111</v>
      </c>
      <c r="J177" s="4" t="s">
        <v>194</v>
      </c>
      <c r="K177" s="14">
        <v>13074</v>
      </c>
      <c r="L177" s="14">
        <v>5300</v>
      </c>
    </row>
    <row r="178" spans="1:12" x14ac:dyDescent="0.3">
      <c r="A178" s="43">
        <v>45959</v>
      </c>
      <c r="B178" t="s">
        <v>294</v>
      </c>
      <c r="C178" s="117">
        <v>200000</v>
      </c>
      <c r="D178" s="117"/>
      <c r="E178" t="s">
        <v>330</v>
      </c>
      <c r="F178" s="116" t="s">
        <v>111</v>
      </c>
      <c r="J178" s="4" t="s">
        <v>22</v>
      </c>
      <c r="K178" s="14">
        <v>1500000</v>
      </c>
      <c r="L178" s="14"/>
    </row>
    <row r="179" spans="1:12" x14ac:dyDescent="0.3">
      <c r="A179" s="115">
        <v>45960</v>
      </c>
      <c r="B179" t="s">
        <v>212</v>
      </c>
      <c r="C179" s="11">
        <v>1000</v>
      </c>
      <c r="D179" s="11"/>
      <c r="E179" t="s">
        <v>331</v>
      </c>
      <c r="F179" s="116" t="s">
        <v>112</v>
      </c>
      <c r="J179" s="4" t="s">
        <v>106</v>
      </c>
      <c r="K179" s="14"/>
      <c r="L179" s="14"/>
    </row>
    <row r="180" spans="1:12" x14ac:dyDescent="0.3">
      <c r="A180" s="115">
        <v>45960</v>
      </c>
      <c r="B180" t="s">
        <v>50</v>
      </c>
      <c r="C180" s="11">
        <v>500</v>
      </c>
      <c r="D180" s="11"/>
      <c r="E180" t="s">
        <v>332</v>
      </c>
      <c r="F180" s="116" t="s">
        <v>112</v>
      </c>
      <c r="J180" s="4" t="s">
        <v>201</v>
      </c>
      <c r="K180" s="14">
        <v>1066681</v>
      </c>
      <c r="L180" s="14"/>
    </row>
    <row r="181" spans="1:12" x14ac:dyDescent="0.3">
      <c r="A181" s="115">
        <v>45960</v>
      </c>
      <c r="B181" t="s">
        <v>50</v>
      </c>
      <c r="C181" s="11">
        <v>420</v>
      </c>
      <c r="D181" s="11"/>
      <c r="E181" t="s">
        <v>286</v>
      </c>
      <c r="F181" s="116" t="s">
        <v>112</v>
      </c>
      <c r="J181" s="4" t="s">
        <v>24</v>
      </c>
      <c r="K181" s="14">
        <v>2000000</v>
      </c>
      <c r="L181" s="14"/>
    </row>
    <row r="182" spans="1:12" x14ac:dyDescent="0.3">
      <c r="A182" s="115">
        <v>45960</v>
      </c>
      <c r="B182" t="s">
        <v>9</v>
      </c>
      <c r="C182" s="11"/>
      <c r="D182" s="11">
        <v>300000</v>
      </c>
      <c r="E182" t="s">
        <v>333</v>
      </c>
      <c r="F182" s="116" t="s">
        <v>111</v>
      </c>
      <c r="J182" s="4" t="s">
        <v>27</v>
      </c>
      <c r="K182" s="14">
        <v>500000</v>
      </c>
      <c r="L182" s="14"/>
    </row>
    <row r="183" spans="1:12" x14ac:dyDescent="0.3">
      <c r="A183" s="115">
        <v>45960</v>
      </c>
      <c r="B183" t="s">
        <v>97</v>
      </c>
      <c r="C183" s="11">
        <v>300000</v>
      </c>
      <c r="D183" s="11"/>
      <c r="E183" t="s">
        <v>333</v>
      </c>
      <c r="F183" s="116" t="s">
        <v>111</v>
      </c>
      <c r="J183" s="4" t="s">
        <v>118</v>
      </c>
      <c r="K183" s="14"/>
      <c r="L183" s="14">
        <v>400000</v>
      </c>
    </row>
    <row r="184" spans="1:12" x14ac:dyDescent="0.3">
      <c r="A184" s="115">
        <v>45960</v>
      </c>
      <c r="B184" t="s">
        <v>54</v>
      </c>
      <c r="C184" s="11">
        <v>1000</v>
      </c>
      <c r="D184" s="11"/>
      <c r="E184" t="s">
        <v>248</v>
      </c>
      <c r="F184" s="116" t="s">
        <v>112</v>
      </c>
      <c r="J184" s="4" t="s">
        <v>35</v>
      </c>
      <c r="K184" s="14">
        <v>179000</v>
      </c>
      <c r="L184" s="14"/>
    </row>
    <row r="185" spans="1:12" x14ac:dyDescent="0.3">
      <c r="A185" s="115">
        <v>45960</v>
      </c>
      <c r="B185" t="s">
        <v>52</v>
      </c>
      <c r="C185" s="11"/>
      <c r="D185" s="11"/>
      <c r="E185" t="s">
        <v>334</v>
      </c>
      <c r="F185" s="116"/>
      <c r="J185" s="4" t="s">
        <v>152</v>
      </c>
      <c r="K185" s="14"/>
      <c r="L185" s="14">
        <v>170000</v>
      </c>
    </row>
    <row r="186" spans="1:12" x14ac:dyDescent="0.3">
      <c r="A186" s="115">
        <v>45960</v>
      </c>
      <c r="B186" t="s">
        <v>55</v>
      </c>
      <c r="C186" s="11">
        <v>890</v>
      </c>
      <c r="D186" s="11"/>
      <c r="E186" t="s">
        <v>335</v>
      </c>
      <c r="F186" s="116" t="s">
        <v>112</v>
      </c>
      <c r="J186" s="4" t="s">
        <v>64</v>
      </c>
      <c r="K186" s="14"/>
      <c r="L186" s="14">
        <v>12000</v>
      </c>
    </row>
    <row r="187" spans="1:12" x14ac:dyDescent="0.3">
      <c r="A187" s="115">
        <v>45960</v>
      </c>
      <c r="B187" t="s">
        <v>180</v>
      </c>
      <c r="C187" s="117"/>
      <c r="D187" s="117">
        <v>80000</v>
      </c>
      <c r="F187" s="116" t="s">
        <v>111</v>
      </c>
      <c r="J187" s="4" t="s">
        <v>277</v>
      </c>
      <c r="K187" s="14"/>
      <c r="L187" s="14">
        <v>250000</v>
      </c>
    </row>
    <row r="188" spans="1:12" x14ac:dyDescent="0.3">
      <c r="A188" s="115">
        <v>45960</v>
      </c>
      <c r="B188" t="s">
        <v>206</v>
      </c>
      <c r="C188" s="11">
        <v>73500</v>
      </c>
      <c r="D188" s="11"/>
      <c r="E188" t="s">
        <v>167</v>
      </c>
      <c r="F188" s="116" t="s">
        <v>111</v>
      </c>
      <c r="J188" s="4" t="s">
        <v>170</v>
      </c>
      <c r="K188" s="14">
        <v>1885544</v>
      </c>
      <c r="L188" s="14"/>
    </row>
    <row r="189" spans="1:12" x14ac:dyDescent="0.3">
      <c r="A189" s="115">
        <v>45960</v>
      </c>
      <c r="B189" t="s">
        <v>50</v>
      </c>
      <c r="C189" s="11">
        <v>300</v>
      </c>
      <c r="D189" s="11"/>
      <c r="E189" t="s">
        <v>336</v>
      </c>
      <c r="F189" s="116" t="s">
        <v>111</v>
      </c>
      <c r="J189" s="4" t="s">
        <v>174</v>
      </c>
      <c r="K189" s="14"/>
      <c r="L189" s="14">
        <v>623825</v>
      </c>
    </row>
    <row r="190" spans="1:12" x14ac:dyDescent="0.3">
      <c r="A190" s="115">
        <v>45960</v>
      </c>
      <c r="B190" t="s">
        <v>54</v>
      </c>
      <c r="C190" s="11">
        <v>5311</v>
      </c>
      <c r="D190" s="11"/>
      <c r="E190" t="s">
        <v>231</v>
      </c>
      <c r="F190" s="116" t="s">
        <v>111</v>
      </c>
      <c r="J190" s="4" t="s">
        <v>182</v>
      </c>
      <c r="K190" s="14"/>
      <c r="L190" s="14">
        <v>1000</v>
      </c>
    </row>
    <row r="191" spans="1:12" x14ac:dyDescent="0.3">
      <c r="A191" s="115">
        <v>45960</v>
      </c>
      <c r="B191" t="s">
        <v>212</v>
      </c>
      <c r="C191" s="11">
        <v>4836</v>
      </c>
      <c r="D191" s="11"/>
      <c r="E191" t="s">
        <v>337</v>
      </c>
      <c r="F191" s="116" t="s">
        <v>111</v>
      </c>
      <c r="J191" s="4" t="s">
        <v>294</v>
      </c>
      <c r="K191" s="14"/>
      <c r="L191" s="14">
        <v>5134544</v>
      </c>
    </row>
    <row r="192" spans="1:12" x14ac:dyDescent="0.3">
      <c r="A192" s="115">
        <v>45961</v>
      </c>
      <c r="B192" t="s">
        <v>227</v>
      </c>
      <c r="C192" s="11"/>
      <c r="D192" s="11">
        <v>300000</v>
      </c>
      <c r="F192" s="116" t="s">
        <v>111</v>
      </c>
      <c r="J192" s="4" t="s">
        <v>187</v>
      </c>
      <c r="K192" s="14">
        <v>-1604605</v>
      </c>
      <c r="L192" s="14"/>
    </row>
    <row r="193" spans="1:12" x14ac:dyDescent="0.3">
      <c r="A193" s="115">
        <v>45961</v>
      </c>
      <c r="B193" t="s">
        <v>97</v>
      </c>
      <c r="C193" s="11">
        <v>75230</v>
      </c>
      <c r="D193" s="11"/>
      <c r="E193" t="s">
        <v>189</v>
      </c>
      <c r="F193" s="116" t="s">
        <v>111</v>
      </c>
      <c r="J193" s="4" t="s">
        <v>198</v>
      </c>
      <c r="K193" s="14">
        <v>1915571</v>
      </c>
      <c r="L193" s="14"/>
    </row>
    <row r="194" spans="1:12" x14ac:dyDescent="0.3">
      <c r="A194" s="115">
        <v>45961</v>
      </c>
      <c r="B194" t="s">
        <v>97</v>
      </c>
      <c r="C194" s="11">
        <v>200000</v>
      </c>
      <c r="D194" s="11"/>
      <c r="E194" t="s">
        <v>340</v>
      </c>
      <c r="F194" s="116" t="s">
        <v>111</v>
      </c>
      <c r="J194" s="4" t="s">
        <v>206</v>
      </c>
      <c r="K194" s="14"/>
      <c r="L194" s="14">
        <v>380750</v>
      </c>
    </row>
    <row r="195" spans="1:12" x14ac:dyDescent="0.3">
      <c r="A195" s="115">
        <v>45961</v>
      </c>
      <c r="B195" t="s">
        <v>9</v>
      </c>
      <c r="C195" s="11"/>
      <c r="D195" s="11">
        <v>500000</v>
      </c>
      <c r="E195" t="s">
        <v>341</v>
      </c>
      <c r="F195" s="116" t="s">
        <v>111</v>
      </c>
      <c r="J195" s="4" t="s">
        <v>214</v>
      </c>
      <c r="K195" s="14">
        <v>54825</v>
      </c>
      <c r="L195" s="14">
        <v>35195</v>
      </c>
    </row>
    <row r="196" spans="1:12" x14ac:dyDescent="0.3">
      <c r="A196" s="115">
        <v>45961</v>
      </c>
      <c r="B196" t="s">
        <v>170</v>
      </c>
      <c r="C196" s="117"/>
      <c r="D196" s="117">
        <v>1385544</v>
      </c>
      <c r="E196" t="s">
        <v>341</v>
      </c>
      <c r="F196" s="116" t="s">
        <v>111</v>
      </c>
      <c r="J196" s="4" t="s">
        <v>222</v>
      </c>
      <c r="K196" s="14"/>
      <c r="L196" s="14">
        <v>42000</v>
      </c>
    </row>
    <row r="197" spans="1:12" x14ac:dyDescent="0.3">
      <c r="A197" s="115">
        <v>45961</v>
      </c>
      <c r="B197" t="s">
        <v>24</v>
      </c>
      <c r="C197" s="11"/>
      <c r="D197" s="11">
        <v>500000</v>
      </c>
      <c r="E197" t="s">
        <v>341</v>
      </c>
      <c r="F197" s="116" t="s">
        <v>111</v>
      </c>
      <c r="J197" s="4" t="s">
        <v>244</v>
      </c>
      <c r="K197" s="14"/>
      <c r="L197" s="14">
        <v>2503038</v>
      </c>
    </row>
    <row r="198" spans="1:12" x14ac:dyDescent="0.3">
      <c r="A198" s="115">
        <v>45961</v>
      </c>
      <c r="B198" t="s">
        <v>27</v>
      </c>
      <c r="C198" s="11"/>
      <c r="D198" s="11">
        <v>500000</v>
      </c>
      <c r="E198" t="s">
        <v>341</v>
      </c>
      <c r="F198" s="116" t="s">
        <v>111</v>
      </c>
      <c r="J198" s="4" t="s">
        <v>227</v>
      </c>
      <c r="K198" s="14">
        <v>835660</v>
      </c>
      <c r="L198" s="14"/>
    </row>
    <row r="199" spans="1:12" x14ac:dyDescent="0.3">
      <c r="A199" s="115">
        <v>45961</v>
      </c>
      <c r="B199" t="s">
        <v>22</v>
      </c>
      <c r="C199" s="11"/>
      <c r="D199" s="11">
        <v>1500000</v>
      </c>
      <c r="E199" t="s">
        <v>341</v>
      </c>
      <c r="F199" s="116" t="s">
        <v>111</v>
      </c>
      <c r="J199" s="4" t="s">
        <v>180</v>
      </c>
      <c r="K199" s="14">
        <v>480000</v>
      </c>
      <c r="L199" s="14"/>
    </row>
    <row r="200" spans="1:12" x14ac:dyDescent="0.3">
      <c r="A200" s="115">
        <v>45961</v>
      </c>
      <c r="B200" t="s">
        <v>294</v>
      </c>
      <c r="C200" s="11">
        <v>500000</v>
      </c>
      <c r="D200" s="11"/>
      <c r="E200" t="s">
        <v>342</v>
      </c>
      <c r="F200" s="116" t="s">
        <v>111</v>
      </c>
      <c r="J200" s="4" t="s">
        <v>296</v>
      </c>
      <c r="K200" s="14">
        <v>300000</v>
      </c>
      <c r="L200" s="14"/>
    </row>
    <row r="201" spans="1:12" x14ac:dyDescent="0.3">
      <c r="A201" s="115">
        <v>45961</v>
      </c>
      <c r="B201" t="s">
        <v>294</v>
      </c>
      <c r="C201" s="117">
        <v>1385544</v>
      </c>
      <c r="D201" s="11"/>
      <c r="E201" t="s">
        <v>343</v>
      </c>
      <c r="F201" s="116" t="s">
        <v>111</v>
      </c>
      <c r="J201" s="4" t="s">
        <v>302</v>
      </c>
      <c r="K201" s="14">
        <v>474200</v>
      </c>
      <c r="L201" s="14"/>
    </row>
    <row r="202" spans="1:12" x14ac:dyDescent="0.3">
      <c r="A202" s="115">
        <v>45961</v>
      </c>
      <c r="B202" t="s">
        <v>294</v>
      </c>
      <c r="C202" s="11">
        <v>500000</v>
      </c>
      <c r="D202" s="11"/>
      <c r="E202" t="s">
        <v>27</v>
      </c>
      <c r="F202" s="116" t="s">
        <v>111</v>
      </c>
      <c r="J202" s="4" t="s">
        <v>304</v>
      </c>
      <c r="K202" s="14">
        <v>95000</v>
      </c>
      <c r="L202" s="14"/>
    </row>
    <row r="203" spans="1:12" x14ac:dyDescent="0.3">
      <c r="A203" s="115">
        <v>45961</v>
      </c>
      <c r="B203" t="s">
        <v>294</v>
      </c>
      <c r="C203" s="11">
        <v>500000</v>
      </c>
      <c r="D203" s="11"/>
      <c r="E203" t="s">
        <v>24</v>
      </c>
      <c r="F203" s="116" t="s">
        <v>111</v>
      </c>
      <c r="J203" s="4" t="s">
        <v>28</v>
      </c>
      <c r="K203" s="14">
        <v>16236397</v>
      </c>
      <c r="L203" s="14">
        <v>15133107</v>
      </c>
    </row>
    <row r="204" spans="1:12" x14ac:dyDescent="0.3">
      <c r="A204" s="115">
        <v>45961</v>
      </c>
      <c r="B204" t="s">
        <v>294</v>
      </c>
      <c r="C204" s="11">
        <v>1500000</v>
      </c>
      <c r="D204" s="11"/>
      <c r="E204" t="s">
        <v>22</v>
      </c>
      <c r="F204" s="116" t="s">
        <v>111</v>
      </c>
    </row>
    <row r="205" spans="1:12" x14ac:dyDescent="0.3">
      <c r="A205" s="115">
        <v>45961</v>
      </c>
      <c r="B205" t="s">
        <v>212</v>
      </c>
      <c r="C205" s="11">
        <v>880</v>
      </c>
      <c r="D205" s="11"/>
      <c r="E205" t="s">
        <v>344</v>
      </c>
      <c r="F205" s="116" t="s">
        <v>111</v>
      </c>
    </row>
    <row r="206" spans="1:12" x14ac:dyDescent="0.3">
      <c r="A206" s="43">
        <v>45961</v>
      </c>
      <c r="B206" t="s">
        <v>212</v>
      </c>
      <c r="C206" s="117">
        <f>580+590+140</f>
        <v>1310</v>
      </c>
      <c r="D206" s="117"/>
      <c r="E206" t="s">
        <v>345</v>
      </c>
      <c r="F206" s="116" t="s">
        <v>111</v>
      </c>
    </row>
    <row r="207" spans="1:12" x14ac:dyDescent="0.3">
      <c r="A207" s="115">
        <v>45962</v>
      </c>
      <c r="B207" t="s">
        <v>212</v>
      </c>
      <c r="C207" s="11">
        <v>2500</v>
      </c>
      <c r="D207" s="11"/>
      <c r="E207" t="s">
        <v>346</v>
      </c>
      <c r="F207" s="116" t="s">
        <v>112</v>
      </c>
    </row>
    <row r="208" spans="1:12" x14ac:dyDescent="0.3">
      <c r="A208" s="115">
        <v>45962</v>
      </c>
      <c r="B208" t="s">
        <v>55</v>
      </c>
      <c r="C208" s="11">
        <v>20000</v>
      </c>
      <c r="D208" s="11"/>
      <c r="E208" t="s">
        <v>347</v>
      </c>
      <c r="F208" s="116" t="s">
        <v>111</v>
      </c>
    </row>
    <row r="209" spans="1:6" x14ac:dyDescent="0.3">
      <c r="A209" s="115">
        <v>45962</v>
      </c>
      <c r="B209" t="s">
        <v>55</v>
      </c>
      <c r="C209" s="11">
        <v>10000</v>
      </c>
      <c r="D209" s="11"/>
      <c r="E209" t="s">
        <v>347</v>
      </c>
      <c r="F209" s="116" t="s">
        <v>112</v>
      </c>
    </row>
    <row r="210" spans="1:6" x14ac:dyDescent="0.3">
      <c r="A210" s="115">
        <v>45962</v>
      </c>
      <c r="B210" t="s">
        <v>54</v>
      </c>
      <c r="C210" s="11">
        <v>1500</v>
      </c>
      <c r="D210" s="11"/>
      <c r="E210" t="s">
        <v>348</v>
      </c>
      <c r="F210" s="116" t="s">
        <v>112</v>
      </c>
    </row>
    <row r="211" spans="1:6" x14ac:dyDescent="0.3">
      <c r="A211" s="115">
        <v>45962</v>
      </c>
      <c r="B211" t="s">
        <v>50</v>
      </c>
      <c r="C211" s="11">
        <v>1500</v>
      </c>
      <c r="D211" s="11"/>
      <c r="E211" t="s">
        <v>349</v>
      </c>
      <c r="F211" s="116" t="s">
        <v>111</v>
      </c>
    </row>
    <row r="212" spans="1:6" x14ac:dyDescent="0.3">
      <c r="A212" s="115">
        <v>45962</v>
      </c>
      <c r="B212" t="s">
        <v>54</v>
      </c>
      <c r="C212" s="11">
        <v>9074</v>
      </c>
      <c r="D212" s="11"/>
      <c r="E212" t="s">
        <v>350</v>
      </c>
      <c r="F212" s="116" t="s">
        <v>111</v>
      </c>
    </row>
    <row r="213" spans="1:6" x14ac:dyDescent="0.3">
      <c r="A213" s="115">
        <v>45962</v>
      </c>
      <c r="B213" t="s">
        <v>194</v>
      </c>
      <c r="C213" s="11"/>
      <c r="D213" s="11">
        <v>9074</v>
      </c>
      <c r="E213" t="s">
        <v>351</v>
      </c>
      <c r="F213" s="116" t="s">
        <v>111</v>
      </c>
    </row>
    <row r="214" spans="1:6" x14ac:dyDescent="0.3">
      <c r="A214" s="115">
        <v>45962</v>
      </c>
      <c r="B214" t="s">
        <v>302</v>
      </c>
      <c r="C214" s="11"/>
      <c r="D214" s="11">
        <v>218000</v>
      </c>
      <c r="F214" s="116" t="s">
        <v>111</v>
      </c>
    </row>
    <row r="215" spans="1:6" x14ac:dyDescent="0.3">
      <c r="A215" s="115">
        <v>45962</v>
      </c>
      <c r="B215" t="s">
        <v>174</v>
      </c>
      <c r="C215" s="11">
        <v>164375</v>
      </c>
      <c r="D215" s="11"/>
      <c r="E215" t="s">
        <v>285</v>
      </c>
      <c r="F215" s="116" t="s">
        <v>111</v>
      </c>
    </row>
    <row r="216" spans="1:6" x14ac:dyDescent="0.3">
      <c r="A216" s="115">
        <v>45962</v>
      </c>
      <c r="B216" t="s">
        <v>50</v>
      </c>
      <c r="C216" s="11">
        <v>1000</v>
      </c>
      <c r="D216" s="11"/>
      <c r="E216" t="s">
        <v>352</v>
      </c>
      <c r="F216" s="116" t="s">
        <v>111</v>
      </c>
    </row>
    <row r="217" spans="1:6" x14ac:dyDescent="0.3">
      <c r="A217" s="115">
        <v>45962</v>
      </c>
      <c r="B217" t="s">
        <v>50</v>
      </c>
      <c r="C217" s="117">
        <v>300</v>
      </c>
      <c r="D217" s="117"/>
      <c r="E217" t="s">
        <v>353</v>
      </c>
      <c r="F217" s="116" t="s">
        <v>112</v>
      </c>
    </row>
    <row r="218" spans="1:6" x14ac:dyDescent="0.3">
      <c r="A218" s="115">
        <v>45962</v>
      </c>
      <c r="B218" t="s">
        <v>21</v>
      </c>
      <c r="C218" s="11"/>
      <c r="D218" s="11">
        <v>145000</v>
      </c>
      <c r="E218" t="s">
        <v>64</v>
      </c>
      <c r="F218" s="116" t="s">
        <v>111</v>
      </c>
    </row>
    <row r="219" spans="1:6" x14ac:dyDescent="0.3">
      <c r="A219" s="115">
        <v>45962</v>
      </c>
      <c r="B219" t="s">
        <v>21</v>
      </c>
      <c r="C219" s="11"/>
      <c r="D219" s="11">
        <v>45000</v>
      </c>
      <c r="F219" s="116" t="s">
        <v>111</v>
      </c>
    </row>
    <row r="220" spans="1:6" x14ac:dyDescent="0.3">
      <c r="A220" s="115">
        <v>45962</v>
      </c>
      <c r="B220" t="s">
        <v>21</v>
      </c>
      <c r="C220" s="11"/>
      <c r="D220" s="11">
        <v>120000</v>
      </c>
      <c r="F220" s="116" t="s">
        <v>111</v>
      </c>
    </row>
    <row r="221" spans="1:6" x14ac:dyDescent="0.3">
      <c r="A221" s="115">
        <v>45962</v>
      </c>
      <c r="B221" t="s">
        <v>206</v>
      </c>
      <c r="C221" s="11">
        <v>145000</v>
      </c>
      <c r="D221" s="11"/>
      <c r="E221" t="s">
        <v>64</v>
      </c>
      <c r="F221" s="116" t="s">
        <v>111</v>
      </c>
    </row>
    <row r="222" spans="1:6" x14ac:dyDescent="0.3">
      <c r="A222" s="115">
        <v>45962</v>
      </c>
      <c r="B222" t="s">
        <v>97</v>
      </c>
      <c r="C222" s="11">
        <v>150000</v>
      </c>
      <c r="D222" s="11"/>
      <c r="F222" s="116" t="s">
        <v>111</v>
      </c>
    </row>
    <row r="223" spans="1:6" x14ac:dyDescent="0.3">
      <c r="A223" s="115">
        <v>45962</v>
      </c>
      <c r="B223" t="s">
        <v>119</v>
      </c>
      <c r="C223" s="117">
        <v>100000</v>
      </c>
      <c r="D223" s="117"/>
      <c r="E223" t="s">
        <v>169</v>
      </c>
      <c r="F223" s="116" t="s">
        <v>111</v>
      </c>
    </row>
    <row r="224" spans="1:6" x14ac:dyDescent="0.3">
      <c r="A224" s="115">
        <v>45962</v>
      </c>
      <c r="B224" t="s">
        <v>21</v>
      </c>
      <c r="C224" s="11"/>
      <c r="D224" s="11">
        <v>100000</v>
      </c>
      <c r="E224" t="s">
        <v>354</v>
      </c>
      <c r="F224" s="116" t="s">
        <v>111</v>
      </c>
    </row>
    <row r="225" spans="1:6" x14ac:dyDescent="0.3">
      <c r="A225" s="115">
        <v>45962</v>
      </c>
      <c r="B225" t="s">
        <v>191</v>
      </c>
      <c r="C225" s="11">
        <v>30000</v>
      </c>
      <c r="D225" s="11"/>
      <c r="E225" t="s">
        <v>355</v>
      </c>
      <c r="F225" s="116" t="s">
        <v>111</v>
      </c>
    </row>
    <row r="226" spans="1:6" x14ac:dyDescent="0.3">
      <c r="A226" s="115">
        <v>45962</v>
      </c>
      <c r="B226" t="s">
        <v>116</v>
      </c>
      <c r="C226" s="11">
        <v>2060</v>
      </c>
      <c r="D226" s="11"/>
      <c r="E226" t="s">
        <v>356</v>
      </c>
      <c r="F226" s="116" t="s">
        <v>111</v>
      </c>
    </row>
    <row r="227" spans="1:6" x14ac:dyDescent="0.3">
      <c r="A227" s="43">
        <v>45962</v>
      </c>
      <c r="B227" t="s">
        <v>116</v>
      </c>
      <c r="C227" s="117">
        <v>2270</v>
      </c>
      <c r="D227" s="117"/>
      <c r="E227" t="s">
        <v>116</v>
      </c>
      <c r="F227" s="116" t="s">
        <v>111</v>
      </c>
    </row>
    <row r="228" spans="1:6" x14ac:dyDescent="0.3">
      <c r="A228" s="115">
        <v>45962</v>
      </c>
      <c r="B228" t="s">
        <v>54</v>
      </c>
      <c r="C228" s="11">
        <v>2000</v>
      </c>
      <c r="D228" s="11"/>
      <c r="E228" t="s">
        <v>231</v>
      </c>
      <c r="F228" s="116" t="s">
        <v>111</v>
      </c>
    </row>
    <row r="229" spans="1:6" x14ac:dyDescent="0.3">
      <c r="A229" s="115">
        <v>45962</v>
      </c>
      <c r="B229" t="s">
        <v>194</v>
      </c>
      <c r="C229" s="11">
        <v>1500</v>
      </c>
      <c r="D229" s="11"/>
      <c r="E229" t="s">
        <v>306</v>
      </c>
      <c r="F229" s="116" t="s">
        <v>111</v>
      </c>
    </row>
    <row r="230" spans="1:6" x14ac:dyDescent="0.3">
      <c r="A230" s="43">
        <v>45963</v>
      </c>
      <c r="B230" t="s">
        <v>21</v>
      </c>
      <c r="C230" s="117"/>
      <c r="D230" s="117">
        <v>20000</v>
      </c>
      <c r="E230" t="s">
        <v>357</v>
      </c>
      <c r="F230" s="116" t="s">
        <v>111</v>
      </c>
    </row>
    <row r="231" spans="1:6" x14ac:dyDescent="0.3">
      <c r="A231" s="43">
        <v>45963</v>
      </c>
      <c r="B231" t="s">
        <v>52</v>
      </c>
      <c r="C231" s="11">
        <v>20000</v>
      </c>
      <c r="D231" s="11"/>
      <c r="E231" t="s">
        <v>357</v>
      </c>
      <c r="F231" s="116" t="s">
        <v>111</v>
      </c>
    </row>
    <row r="232" spans="1:6" x14ac:dyDescent="0.3">
      <c r="A232" s="115">
        <v>45964</v>
      </c>
      <c r="B232" t="s">
        <v>52</v>
      </c>
      <c r="C232" s="11">
        <v>10000</v>
      </c>
      <c r="D232" s="11"/>
      <c r="E232" t="s">
        <v>355</v>
      </c>
      <c r="F232" s="116" t="s">
        <v>111</v>
      </c>
    </row>
    <row r="233" spans="1:6" x14ac:dyDescent="0.3">
      <c r="A233" s="43">
        <v>45964</v>
      </c>
      <c r="B233" t="s">
        <v>97</v>
      </c>
      <c r="C233" s="117">
        <v>77570</v>
      </c>
      <c r="D233" s="117"/>
      <c r="E233" t="s">
        <v>189</v>
      </c>
      <c r="F233" s="116" t="s">
        <v>111</v>
      </c>
    </row>
    <row r="234" spans="1:6" x14ac:dyDescent="0.3">
      <c r="A234" s="115">
        <v>45964</v>
      </c>
      <c r="B234" t="s">
        <v>97</v>
      </c>
      <c r="C234" s="117">
        <v>300000</v>
      </c>
      <c r="D234" s="117"/>
      <c r="E234" t="s">
        <v>360</v>
      </c>
      <c r="F234" s="116" t="s">
        <v>111</v>
      </c>
    </row>
    <row r="235" spans="1:6" x14ac:dyDescent="0.3">
      <c r="A235" s="115">
        <v>45964</v>
      </c>
      <c r="B235" t="s">
        <v>26</v>
      </c>
      <c r="C235" s="117"/>
      <c r="D235" s="117">
        <v>300000</v>
      </c>
      <c r="F235" s="116" t="s">
        <v>111</v>
      </c>
    </row>
    <row r="236" spans="1:6" x14ac:dyDescent="0.3">
      <c r="A236" s="115">
        <v>45964</v>
      </c>
      <c r="B236" t="s">
        <v>170</v>
      </c>
      <c r="C236" s="117"/>
      <c r="D236" s="117">
        <v>175000</v>
      </c>
      <c r="F236" s="116" t="s">
        <v>111</v>
      </c>
    </row>
    <row r="237" spans="1:6" x14ac:dyDescent="0.3">
      <c r="A237" s="115">
        <v>45964</v>
      </c>
      <c r="B237" t="s">
        <v>170</v>
      </c>
      <c r="C237" s="117"/>
      <c r="D237" s="117">
        <v>100000</v>
      </c>
      <c r="F237" s="116" t="s">
        <v>111</v>
      </c>
    </row>
    <row r="238" spans="1:6" x14ac:dyDescent="0.3">
      <c r="A238" s="43">
        <v>45964</v>
      </c>
      <c r="B238" t="s">
        <v>294</v>
      </c>
      <c r="C238" s="11">
        <v>75000</v>
      </c>
      <c r="D238" s="11"/>
      <c r="E238" t="s">
        <v>373</v>
      </c>
      <c r="F238" s="116" t="s">
        <v>111</v>
      </c>
    </row>
    <row r="239" spans="1:6" x14ac:dyDescent="0.3">
      <c r="A239" s="115">
        <v>45964</v>
      </c>
      <c r="B239" t="s">
        <v>54</v>
      </c>
      <c r="C239" s="11">
        <v>13200</v>
      </c>
      <c r="D239" s="11"/>
      <c r="E239" t="s">
        <v>350</v>
      </c>
      <c r="F239" s="116" t="s">
        <v>111</v>
      </c>
    </row>
    <row r="240" spans="1:6" x14ac:dyDescent="0.3">
      <c r="A240" s="43">
        <v>45964</v>
      </c>
      <c r="B240" t="s">
        <v>212</v>
      </c>
      <c r="C240" s="11">
        <v>7400</v>
      </c>
      <c r="D240" s="11"/>
      <c r="E240" t="s">
        <v>220</v>
      </c>
      <c r="F240" s="116" t="s">
        <v>111</v>
      </c>
    </row>
    <row r="241" spans="1:6" x14ac:dyDescent="0.3">
      <c r="A241" s="115">
        <v>45964</v>
      </c>
      <c r="B241" t="s">
        <v>116</v>
      </c>
      <c r="C241" s="11">
        <v>30480</v>
      </c>
      <c r="D241" s="11"/>
      <c r="E241" t="s">
        <v>116</v>
      </c>
      <c r="F241" s="116" t="s">
        <v>111</v>
      </c>
    </row>
    <row r="242" spans="1:6" x14ac:dyDescent="0.3">
      <c r="A242" s="115">
        <v>45964</v>
      </c>
      <c r="B242" t="s">
        <v>21</v>
      </c>
      <c r="C242" s="11"/>
      <c r="D242" s="11">
        <v>30480</v>
      </c>
      <c r="E242" t="s">
        <v>116</v>
      </c>
      <c r="F242" s="116" t="s">
        <v>111</v>
      </c>
    </row>
    <row r="243" spans="1:6" x14ac:dyDescent="0.3">
      <c r="A243" s="43">
        <v>45964</v>
      </c>
      <c r="B243" t="s">
        <v>55</v>
      </c>
      <c r="C243" s="11">
        <v>27095</v>
      </c>
      <c r="D243" s="11"/>
      <c r="E243" t="s">
        <v>361</v>
      </c>
      <c r="F243" s="116" t="s">
        <v>111</v>
      </c>
    </row>
    <row r="244" spans="1:6" x14ac:dyDescent="0.3">
      <c r="A244" s="115">
        <v>45964</v>
      </c>
      <c r="B244" t="s">
        <v>21</v>
      </c>
      <c r="C244" s="11"/>
      <c r="D244" s="11">
        <v>27095</v>
      </c>
      <c r="F244" s="116" t="s">
        <v>111</v>
      </c>
    </row>
    <row r="245" spans="1:6" x14ac:dyDescent="0.3">
      <c r="A245" s="43">
        <v>45964</v>
      </c>
      <c r="B245" t="s">
        <v>152</v>
      </c>
      <c r="C245" s="11">
        <v>70000</v>
      </c>
      <c r="D245" s="11"/>
      <c r="E245" t="s">
        <v>285</v>
      </c>
      <c r="F245" s="116" t="s">
        <v>111</v>
      </c>
    </row>
    <row r="246" spans="1:6" x14ac:dyDescent="0.3">
      <c r="A246" s="115">
        <v>45964</v>
      </c>
      <c r="B246" t="s">
        <v>198</v>
      </c>
      <c r="C246" s="11"/>
      <c r="D246" s="11">
        <v>1500000</v>
      </c>
      <c r="E246" t="s">
        <v>362</v>
      </c>
      <c r="F246" s="116" t="s">
        <v>111</v>
      </c>
    </row>
    <row r="247" spans="1:6" x14ac:dyDescent="0.3">
      <c r="A247" s="43">
        <v>45964</v>
      </c>
      <c r="B247" t="s">
        <v>52</v>
      </c>
      <c r="C247" s="117"/>
      <c r="D247" s="117"/>
      <c r="E247" t="s">
        <v>225</v>
      </c>
      <c r="F247" s="116" t="s">
        <v>111</v>
      </c>
    </row>
    <row r="248" spans="1:6" x14ac:dyDescent="0.3">
      <c r="A248" s="115">
        <v>45965</v>
      </c>
      <c r="B248" t="s">
        <v>97</v>
      </c>
      <c r="C248" s="11">
        <v>67950</v>
      </c>
      <c r="D248" s="11"/>
      <c r="E248" t="s">
        <v>364</v>
      </c>
      <c r="F248" s="116" t="s">
        <v>111</v>
      </c>
    </row>
    <row r="249" spans="1:6" x14ac:dyDescent="0.3">
      <c r="A249" s="115">
        <v>45965</v>
      </c>
      <c r="B249" t="s">
        <v>55</v>
      </c>
      <c r="C249" s="11">
        <v>1000</v>
      </c>
      <c r="D249" s="11"/>
      <c r="E249" t="s">
        <v>365</v>
      </c>
      <c r="F249" s="116" t="s">
        <v>111</v>
      </c>
    </row>
    <row r="250" spans="1:6" x14ac:dyDescent="0.3">
      <c r="A250" s="115">
        <v>45965</v>
      </c>
      <c r="B250" t="s">
        <v>55</v>
      </c>
      <c r="C250" s="11">
        <v>17500</v>
      </c>
      <c r="D250" s="11"/>
      <c r="E250" t="s">
        <v>366</v>
      </c>
      <c r="F250" s="116" t="s">
        <v>111</v>
      </c>
    </row>
    <row r="251" spans="1:6" x14ac:dyDescent="0.3">
      <c r="A251" s="115">
        <v>45965</v>
      </c>
      <c r="B251" t="s">
        <v>116</v>
      </c>
      <c r="C251" s="11">
        <v>20000</v>
      </c>
      <c r="D251" s="11"/>
      <c r="E251" t="s">
        <v>367</v>
      </c>
      <c r="F251" s="116" t="s">
        <v>111</v>
      </c>
    </row>
    <row r="252" spans="1:6" x14ac:dyDescent="0.3">
      <c r="A252" s="115">
        <v>45965</v>
      </c>
      <c r="B252" t="s">
        <v>97</v>
      </c>
      <c r="C252" s="11">
        <v>250000</v>
      </c>
      <c r="D252" s="11"/>
      <c r="E252" t="s">
        <v>368</v>
      </c>
      <c r="F252" s="116" t="s">
        <v>111</v>
      </c>
    </row>
    <row r="253" spans="1:6" x14ac:dyDescent="0.3">
      <c r="A253" s="115">
        <v>45965</v>
      </c>
      <c r="B253" t="s">
        <v>55</v>
      </c>
      <c r="C253" s="11">
        <v>1150</v>
      </c>
      <c r="D253" s="11"/>
      <c r="E253" t="s">
        <v>203</v>
      </c>
      <c r="F253" s="116" t="s">
        <v>111</v>
      </c>
    </row>
    <row r="254" spans="1:6" x14ac:dyDescent="0.3">
      <c r="A254" s="115">
        <v>45965</v>
      </c>
      <c r="B254" t="s">
        <v>55</v>
      </c>
      <c r="C254" s="11">
        <v>580</v>
      </c>
      <c r="D254" s="11"/>
      <c r="F254" s="116" t="s">
        <v>111</v>
      </c>
    </row>
    <row r="255" spans="1:6" x14ac:dyDescent="0.3">
      <c r="A255" s="115">
        <v>45965</v>
      </c>
      <c r="B255" t="s">
        <v>227</v>
      </c>
      <c r="C255" s="11"/>
      <c r="D255" s="11">
        <v>437660</v>
      </c>
      <c r="F255" s="116" t="s">
        <v>111</v>
      </c>
    </row>
    <row r="256" spans="1:6" x14ac:dyDescent="0.3">
      <c r="A256" s="115">
        <v>45966</v>
      </c>
      <c r="B256" t="s">
        <v>191</v>
      </c>
      <c r="C256" s="117">
        <v>2000</v>
      </c>
      <c r="D256" s="117"/>
      <c r="E256" t="s">
        <v>369</v>
      </c>
      <c r="F256" s="116" t="s">
        <v>111</v>
      </c>
    </row>
    <row r="257" spans="1:6" x14ac:dyDescent="0.3">
      <c r="A257" s="115">
        <v>45966</v>
      </c>
      <c r="B257" t="s">
        <v>212</v>
      </c>
      <c r="C257" s="11">
        <f>2863+1200-1000</f>
        <v>3063</v>
      </c>
      <c r="D257" s="11"/>
      <c r="E257" t="s">
        <v>344</v>
      </c>
      <c r="F257" s="116" t="s">
        <v>111</v>
      </c>
    </row>
    <row r="258" spans="1:6" x14ac:dyDescent="0.3">
      <c r="A258" s="115">
        <v>45966</v>
      </c>
      <c r="B258" t="s">
        <v>209</v>
      </c>
      <c r="C258" s="11"/>
      <c r="D258" s="11">
        <v>1000</v>
      </c>
      <c r="E258" t="s">
        <v>192</v>
      </c>
      <c r="F258" s="116" t="s">
        <v>111</v>
      </c>
    </row>
    <row r="259" spans="1:6" x14ac:dyDescent="0.3">
      <c r="A259" s="115">
        <v>45966</v>
      </c>
      <c r="B259" t="s">
        <v>212</v>
      </c>
      <c r="C259" s="11">
        <v>2600</v>
      </c>
      <c r="D259" s="11"/>
      <c r="E259" t="s">
        <v>220</v>
      </c>
      <c r="F259" s="116" t="s">
        <v>111</v>
      </c>
    </row>
    <row r="260" spans="1:6" x14ac:dyDescent="0.3">
      <c r="A260" s="115">
        <v>45966</v>
      </c>
      <c r="B260" t="s">
        <v>191</v>
      </c>
      <c r="C260" s="11">
        <v>8000</v>
      </c>
      <c r="D260" s="11"/>
      <c r="E260" t="s">
        <v>270</v>
      </c>
      <c r="F260" s="116" t="s">
        <v>111</v>
      </c>
    </row>
    <row r="261" spans="1:6" x14ac:dyDescent="0.3">
      <c r="A261" s="115">
        <v>45966</v>
      </c>
      <c r="B261" t="s">
        <v>212</v>
      </c>
      <c r="C261" s="117">
        <v>7100</v>
      </c>
      <c r="D261" s="117"/>
      <c r="E261" t="s">
        <v>370</v>
      </c>
      <c r="F261" s="116" t="s">
        <v>111</v>
      </c>
    </row>
    <row r="262" spans="1:6" x14ac:dyDescent="0.3">
      <c r="A262" s="115">
        <v>45966</v>
      </c>
      <c r="B262" t="s">
        <v>97</v>
      </c>
      <c r="C262" s="11">
        <v>15000</v>
      </c>
      <c r="D262" s="11"/>
      <c r="E262" t="s">
        <v>197</v>
      </c>
      <c r="F262" s="116" t="s">
        <v>111</v>
      </c>
    </row>
    <row r="263" spans="1:6" x14ac:dyDescent="0.3">
      <c r="A263" s="115">
        <v>45966</v>
      </c>
      <c r="B263" t="s">
        <v>174</v>
      </c>
      <c r="C263" s="11">
        <v>2300</v>
      </c>
      <c r="D263" s="11"/>
      <c r="E263" t="s">
        <v>197</v>
      </c>
      <c r="F263" s="116" t="s">
        <v>111</v>
      </c>
    </row>
    <row r="264" spans="1:6" x14ac:dyDescent="0.3">
      <c r="A264" s="115">
        <v>45966</v>
      </c>
      <c r="B264" t="s">
        <v>97</v>
      </c>
      <c r="C264" s="11">
        <v>250000</v>
      </c>
      <c r="D264" s="11"/>
      <c r="E264" t="s">
        <v>371</v>
      </c>
      <c r="F264" s="116" t="s">
        <v>111</v>
      </c>
    </row>
    <row r="265" spans="1:6" x14ac:dyDescent="0.3">
      <c r="A265" s="115">
        <v>45966</v>
      </c>
      <c r="B265" t="s">
        <v>212</v>
      </c>
      <c r="C265" s="117">
        <v>12000</v>
      </c>
      <c r="D265" s="117"/>
      <c r="E265" t="s">
        <v>372</v>
      </c>
      <c r="F265" s="116" t="s">
        <v>111</v>
      </c>
    </row>
    <row r="266" spans="1:6" x14ac:dyDescent="0.3">
      <c r="A266" s="115">
        <v>45966</v>
      </c>
      <c r="C266" s="11"/>
      <c r="D266" s="11"/>
      <c r="F266" s="116"/>
    </row>
    <row r="267" spans="1:6" x14ac:dyDescent="0.3">
      <c r="A267" s="115">
        <v>45966</v>
      </c>
      <c r="C267" s="11"/>
      <c r="D267" s="11"/>
      <c r="F267" s="116"/>
    </row>
    <row r="268" spans="1:6" x14ac:dyDescent="0.3">
      <c r="A268" s="115">
        <v>45966</v>
      </c>
      <c r="C268" s="11"/>
      <c r="D268" s="11"/>
      <c r="F268" s="116"/>
    </row>
    <row r="269" spans="1:6" x14ac:dyDescent="0.3">
      <c r="A269" s="115">
        <v>45966</v>
      </c>
      <c r="C269" s="11"/>
      <c r="D269" s="11"/>
      <c r="F269" s="116"/>
    </row>
    <row r="270" spans="1:6" x14ac:dyDescent="0.3">
      <c r="A270" s="115">
        <v>45966</v>
      </c>
      <c r="C270" s="11"/>
      <c r="D270" s="11"/>
      <c r="F270" s="116"/>
    </row>
    <row r="271" spans="1:6" x14ac:dyDescent="0.3">
      <c r="A271" s="115">
        <v>45966</v>
      </c>
      <c r="C271" s="11"/>
      <c r="D271" s="11"/>
      <c r="F271" s="116"/>
    </row>
    <row r="272" spans="1:6" x14ac:dyDescent="0.3">
      <c r="A272" s="115">
        <v>45966</v>
      </c>
      <c r="C272" s="11"/>
      <c r="D272" s="11"/>
      <c r="F272" s="116"/>
    </row>
    <row r="273" spans="1:6" x14ac:dyDescent="0.3">
      <c r="A273" s="115">
        <v>45966</v>
      </c>
      <c r="C273" s="11"/>
      <c r="D273" s="11"/>
      <c r="F273" s="116"/>
    </row>
    <row r="274" spans="1:6" x14ac:dyDescent="0.3">
      <c r="A274" s="115">
        <v>45966</v>
      </c>
      <c r="C274" s="11"/>
      <c r="D274" s="11"/>
      <c r="F274" s="116"/>
    </row>
    <row r="275" spans="1:6" x14ac:dyDescent="0.3">
      <c r="A275" s="115">
        <v>45966</v>
      </c>
      <c r="C275" s="11"/>
      <c r="D275" s="11"/>
      <c r="F275" s="116"/>
    </row>
    <row r="276" spans="1:6" x14ac:dyDescent="0.3">
      <c r="A276" s="115">
        <v>45966</v>
      </c>
      <c r="C276" s="11"/>
      <c r="D276" s="11"/>
      <c r="F276" s="116"/>
    </row>
    <row r="277" spans="1:6" x14ac:dyDescent="0.3">
      <c r="A277" s="115">
        <v>45966</v>
      </c>
      <c r="C277" s="11"/>
      <c r="D277" s="11"/>
      <c r="F277" s="116"/>
    </row>
    <row r="278" spans="1:6" x14ac:dyDescent="0.3">
      <c r="A278" s="43"/>
      <c r="C278" s="14">
        <f>SUBTOTAL(109,Table14[Debit])</f>
        <v>15208107</v>
      </c>
      <c r="D278" s="14">
        <f>SUBTOTAL(109,Table14[Credit])</f>
        <v>16311397</v>
      </c>
      <c r="F278" s="59">
        <f>(Table14[[#Totals],[Credit]]-Table14[[#Totals],[Debit]])</f>
        <v>1103290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8" t="s">
        <v>118</v>
      </c>
      <c r="G2" s="87">
        <f>SUMIFS(Table14[Debit], Table14[Date], Table8[[#This Row],[Date]], Table14[Party], Table8[[#This Row],[Party]])</f>
        <v>0</v>
      </c>
      <c r="H2" s="87">
        <v>640125</v>
      </c>
      <c r="I2" s="87" t="s">
        <v>188</v>
      </c>
      <c r="K2" t="s">
        <v>75</v>
      </c>
      <c r="L2" t="s">
        <v>45</v>
      </c>
      <c r="M2" t="s">
        <v>36</v>
      </c>
      <c r="N2" t="s">
        <v>5</v>
      </c>
    </row>
    <row r="3" spans="1:14" x14ac:dyDescent="0.3">
      <c r="A3" s="105">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M10">
        <v>0</v>
      </c>
    </row>
    <row r="11" spans="1:14" x14ac:dyDescent="0.3">
      <c r="K11" s="27">
        <v>45948</v>
      </c>
      <c r="L11">
        <v>162250</v>
      </c>
      <c r="M11">
        <v>0</v>
      </c>
    </row>
    <row r="12" spans="1:14" x14ac:dyDescent="0.3">
      <c r="K12" s="27">
        <v>45960</v>
      </c>
      <c r="L12">
        <v>73500</v>
      </c>
      <c r="M12">
        <v>0</v>
      </c>
    </row>
    <row r="13" spans="1:14" x14ac:dyDescent="0.3">
      <c r="A13" t="s">
        <v>57</v>
      </c>
      <c r="B13" t="s">
        <v>159</v>
      </c>
      <c r="C13" t="s">
        <v>160</v>
      </c>
      <c r="D13" t="s">
        <v>4</v>
      </c>
      <c r="E13" t="s">
        <v>161</v>
      </c>
      <c r="K13" s="27">
        <v>45962</v>
      </c>
      <c r="L13">
        <v>145000</v>
      </c>
      <c r="M13">
        <v>0</v>
      </c>
    </row>
    <row r="14" spans="1:14" x14ac:dyDescent="0.3">
      <c r="A14" t="s">
        <v>134</v>
      </c>
      <c r="D14">
        <v>1400</v>
      </c>
      <c r="E14">
        <f>Table2325[[#This Row],[boxes]]*Table2325[[#This Row],[kgs]]*Table2325[[#This Row],[Rate]]</f>
        <v>0</v>
      </c>
      <c r="K14" s="4" t="s">
        <v>28</v>
      </c>
      <c r="L14">
        <v>380750</v>
      </c>
      <c r="M14">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6" workbookViewId="0">
      <selection activeCell="E10" sqref="E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128000</v>
      </c>
      <c r="L5">
        <v>100000</v>
      </c>
      <c r="M5">
        <v>23000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0</v>
      </c>
      <c r="M6">
        <v>353250</v>
      </c>
    </row>
    <row r="7" spans="1:13" x14ac:dyDescent="0.3">
      <c r="A7" s="90">
        <v>45947</v>
      </c>
      <c r="B7" s="90" t="s">
        <v>168</v>
      </c>
      <c r="C7" s="87" t="s">
        <v>184</v>
      </c>
      <c r="F7">
        <v>0</v>
      </c>
      <c r="G7">
        <v>0</v>
      </c>
      <c r="H7" s="86">
        <v>0</v>
      </c>
      <c r="J7" s="4" t="s">
        <v>168</v>
      </c>
      <c r="K7">
        <v>120000</v>
      </c>
      <c r="L7">
        <v>0</v>
      </c>
      <c r="M7">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248000</v>
      </c>
      <c r="L8">
        <v>100000</v>
      </c>
      <c r="M8">
        <v>496250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c r="F11">
        <f>SUBTOTAL(109,Table2[Price])</f>
        <v>248000</v>
      </c>
      <c r="G11">
        <f>SUBTOTAL(109,Table2[Paid])</f>
        <v>100000</v>
      </c>
      <c r="H11">
        <f>SUBTOTAL(109,Table2[Balance])</f>
        <v>496250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zoomScale="118" workbookViewId="0">
      <selection activeCell="D20" sqref="D20"/>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9"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9"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9"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9"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9"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9"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9"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9" x14ac:dyDescent="0.3">
      <c r="B24" s="1">
        <v>45968</v>
      </c>
      <c r="C24" s="20">
        <f>SUMIFS(Table14[Debit], Table14[Date], Table11[[#This Row],[Date]], Table14[Party],"Salary", Table14[Description],Table11[[#This Row],[Column1]])</f>
        <v>0</v>
      </c>
      <c r="H24" s="1">
        <v>45968</v>
      </c>
      <c r="I24">
        <f>SUMIFS(Table14[Debit], Table14[Date], Table16[[#This Row],[Date]], Table14[Party], "Advance Salary", Table14[Description], Table16[[#This Row],[Person]] )</f>
        <v>0</v>
      </c>
    </row>
    <row r="25" spans="2:9" x14ac:dyDescent="0.3">
      <c r="B25" s="1">
        <v>45969</v>
      </c>
      <c r="C25" s="20">
        <f>SUMIFS(Table14[Debit], Table14[Date], Table11[[#This Row],[Date]], Table14[Party],"Salary", Table14[Description],Table11[[#This Row],[Column1]])</f>
        <v>0</v>
      </c>
      <c r="H25" s="1">
        <v>45969</v>
      </c>
      <c r="I25">
        <f>SUMIFS(Table14[Debit], Table14[Date], Table16[[#This Row],[Date]], Table14[Party], "Advance Salary", Table14[Description], Table16[[#This Row],[Person]] )</f>
        <v>0</v>
      </c>
    </row>
    <row r="26" spans="2:9"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9"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9"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9"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9"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9"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9"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11500</v>
      </c>
    </row>
    <row r="37" spans="2:9" x14ac:dyDescent="0.3">
      <c r="B37" s="1"/>
      <c r="C37" s="26">
        <f>SUM(Table11[Amount])</f>
        <v>23750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1060556</v>
      </c>
      <c r="C2" s="37">
        <f>GETPIVOTDATA("Sum of Tiyaar/gaz",$A$3)</f>
        <v>1092840</v>
      </c>
      <c r="D2" s="36">
        <f>((B2*48)+((C2/1.0936)*10))/C2</f>
        <v>55.726125027903244</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0</v>
      </c>
      <c r="D45" s="33" t="e">
        <f t="shared" ref="D45:D58" si="19">I45</f>
        <v>#DIV/0!</v>
      </c>
      <c r="E45" s="11">
        <f t="shared" ref="E45:E58" si="20">B45 * 1.0936</f>
        <v>16456.4928</v>
      </c>
      <c r="F45" s="11">
        <f t="shared" ref="F45:F58" si="21">C45</f>
        <v>0</v>
      </c>
      <c r="G45" s="83">
        <f t="shared" ref="G45:G58" si="22">100- (F45/E45 *100)</f>
        <v>100</v>
      </c>
      <c r="H45" s="33">
        <f t="shared" ref="H45:H58" si="23">F45/1.0936</f>
        <v>0</v>
      </c>
      <c r="I45" s="33" t="e">
        <f t="shared" ref="I45:I58" si="24">((B45*48)+(H45*10))/C45</f>
        <v>#DIV/0!</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t="s">
        <v>28</v>
      </c>
      <c r="B49" s="35">
        <v>100849</v>
      </c>
      <c r="C49" s="35">
        <v>1092840</v>
      </c>
      <c r="D49" s="33">
        <f t="shared" si="19"/>
        <v>13.573626949502016</v>
      </c>
      <c r="E49" s="11">
        <f t="shared" si="20"/>
        <v>110288.46639999999</v>
      </c>
      <c r="F49" s="11">
        <f t="shared" si="21"/>
        <v>1092840</v>
      </c>
      <c r="G49" s="83">
        <f t="shared" si="22"/>
        <v>-890.89237131689777</v>
      </c>
      <c r="H49" s="33">
        <f t="shared" si="23"/>
        <v>999305.04754937824</v>
      </c>
      <c r="I49" s="33">
        <f t="shared" si="24"/>
        <v>13.573626949502016</v>
      </c>
    </row>
    <row r="50" spans="1:9" x14ac:dyDescent="0.3">
      <c r="D50" s="33" t="e">
        <f t="shared" si="19"/>
        <v>#DIV/0!</v>
      </c>
      <c r="E50" s="11">
        <f t="shared" si="20"/>
        <v>0</v>
      </c>
      <c r="F50" s="11">
        <f t="shared" si="21"/>
        <v>0</v>
      </c>
      <c r="G50" s="83" t="e">
        <f t="shared" si="22"/>
        <v>#DIV/0!</v>
      </c>
      <c r="H50" s="33">
        <f t="shared" si="23"/>
        <v>0</v>
      </c>
      <c r="I50" s="33" t="e">
        <f t="shared" si="24"/>
        <v>#DIV/0!</v>
      </c>
    </row>
    <row r="51" spans="1:9" x14ac:dyDescent="0.3">
      <c r="D51" s="33" t="e">
        <f t="shared" si="19"/>
        <v>#DIV/0!</v>
      </c>
      <c r="E51" s="11">
        <f t="shared" si="20"/>
        <v>0</v>
      </c>
      <c r="F51" s="11">
        <f t="shared" si="21"/>
        <v>0</v>
      </c>
      <c r="G51" s="83" t="e">
        <f t="shared" si="22"/>
        <v>#DIV/0!</v>
      </c>
      <c r="H51" s="33">
        <f t="shared" si="23"/>
        <v>0</v>
      </c>
      <c r="I51" s="33" t="e">
        <f t="shared" si="24"/>
        <v>#DIV/0!</v>
      </c>
    </row>
    <row r="52" spans="1:9" x14ac:dyDescent="0.3">
      <c r="D52" s="33" t="e">
        <f t="shared" si="19"/>
        <v>#DIV/0!</v>
      </c>
      <c r="E52" s="11">
        <f t="shared" si="20"/>
        <v>0</v>
      </c>
      <c r="F52" s="11">
        <f t="shared" si="21"/>
        <v>0</v>
      </c>
      <c r="G52" s="83" t="e">
        <f t="shared" si="22"/>
        <v>#DIV/0!</v>
      </c>
      <c r="H52" s="33">
        <f t="shared" si="23"/>
        <v>0</v>
      </c>
      <c r="I52" s="33" t="e">
        <f t="shared" si="24"/>
        <v>#DIV/0!</v>
      </c>
    </row>
    <row r="53" spans="1:9" x14ac:dyDescent="0.3">
      <c r="D53" s="33" t="e">
        <f t="shared" si="19"/>
        <v>#DIV/0!</v>
      </c>
      <c r="E53" s="11">
        <f t="shared" si="20"/>
        <v>0</v>
      </c>
      <c r="F53" s="11">
        <f t="shared" si="21"/>
        <v>0</v>
      </c>
      <c r="G53" s="83" t="e">
        <f t="shared" si="22"/>
        <v>#DIV/0!</v>
      </c>
      <c r="H53" s="33">
        <f t="shared" si="23"/>
        <v>0</v>
      </c>
      <c r="I53" s="33" t="e">
        <f t="shared" si="24"/>
        <v>#DIV/0!</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0</v>
      </c>
      <c r="H23" s="1">
        <v>45967</v>
      </c>
      <c r="J23">
        <f>SUMIFS(Table14[Debit], Table14[Date], Table15[[#This Row],[Date]], Table14[Party], "Parts")</f>
        <v>0</v>
      </c>
    </row>
    <row r="24" spans="2:10" x14ac:dyDescent="0.3">
      <c r="B24" s="1">
        <v>45968</v>
      </c>
      <c r="C24" t="s">
        <v>116</v>
      </c>
      <c r="D24">
        <f>SUMIFS(Table14[Debit], Table14[Date], Table5[[#This Row],[Date]], Table14[Party], "Rashan")</f>
        <v>0</v>
      </c>
      <c r="H24" s="1">
        <v>45968</v>
      </c>
      <c r="J24">
        <f>SUMIFS(Table14[Debit], Table14[Date], Table15[[#This Row],[Date]], Table14[Party], "Parts")</f>
        <v>0</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93055</v>
      </c>
      <c r="H35" s="1"/>
      <c r="J35">
        <f>SUM(Table15[Amount])</f>
        <v>302935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G16" sqref="G16"/>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t="s">
        <v>18</v>
      </c>
    </row>
    <row r="2" spans="1:3" ht="18" x14ac:dyDescent="0.35">
      <c r="A2" s="86" t="str">
        <f>Billing!Q5</f>
        <v>BSC</v>
      </c>
      <c r="B2" s="14">
        <f>Billing!AA5</f>
        <v>17302816</v>
      </c>
      <c r="C2" s="101">
        <f>Billing!AB5</f>
        <v>772154.73884418607</v>
      </c>
    </row>
    <row r="3" spans="1:3" ht="18" x14ac:dyDescent="0.35">
      <c r="A3" s="86" t="str">
        <f>Billing!Q6</f>
        <v>Ejaz Sahab</v>
      </c>
      <c r="B3" s="14">
        <f>Billing!AA6</f>
        <v>2359904</v>
      </c>
      <c r="C3" s="102">
        <f>Billing!AB6</f>
        <v>-168718.92318946589</v>
      </c>
    </row>
    <row r="4" spans="1:3" ht="18" x14ac:dyDescent="0.35">
      <c r="A4" s="86" t="str">
        <f>Billing!Q7</f>
        <v>Arshad</v>
      </c>
      <c r="B4" s="14">
        <f>Billing!AA7</f>
        <v>3893935</v>
      </c>
      <c r="C4" s="102">
        <f>Billing!AB7</f>
        <v>-6409.3964886609465</v>
      </c>
    </row>
    <row r="5" spans="1:3" ht="18" x14ac:dyDescent="0.35">
      <c r="A5" s="86" t="str">
        <f>Billing!Q8</f>
        <v>Shehzad Kamoki</v>
      </c>
      <c r="B5" s="14">
        <f>Billing!AA8</f>
        <v>1268740</v>
      </c>
      <c r="C5" s="102">
        <f>Billing!AB8</f>
        <v>530.34403803967871</v>
      </c>
    </row>
    <row r="6" spans="1:3" ht="18" x14ac:dyDescent="0.35">
      <c r="A6" s="86" t="str">
        <f>Billing!Q9</f>
        <v>Sufi Nawaz Sahab</v>
      </c>
      <c r="B6" s="14">
        <f>Billing!AA9</f>
        <v>10629100</v>
      </c>
      <c r="C6" s="101">
        <f>Billing!AB9</f>
        <v>609704.47256766632</v>
      </c>
    </row>
    <row r="7" spans="1:3" ht="18" x14ac:dyDescent="0.35">
      <c r="A7" s="86" t="str">
        <f>Billing!Q10</f>
        <v>Sajad Khan</v>
      </c>
      <c r="B7" s="14">
        <f>Billing!AA10</f>
        <v>4817947</v>
      </c>
      <c r="C7" s="101">
        <f>Billing!AB10</f>
        <v>72277.030724213459</v>
      </c>
    </row>
    <row r="8" spans="1:3" ht="18" x14ac:dyDescent="0.35">
      <c r="A8" s="86" t="str">
        <f>Billing!Q11</f>
        <v>Raaz Fabrics</v>
      </c>
      <c r="B8" s="14">
        <f>Billing!AA11</f>
        <v>900000</v>
      </c>
      <c r="C8" s="101">
        <f>Billing!AB11</f>
        <v>22787.125091441208</v>
      </c>
    </row>
    <row r="9" spans="1:3" ht="18" x14ac:dyDescent="0.35">
      <c r="A9" s="86" t="str">
        <f>Billing!Q12</f>
        <v>Azam</v>
      </c>
      <c r="B9" s="14">
        <f>Billing!AA12</f>
        <v>1617620</v>
      </c>
      <c r="C9" s="102">
        <f>Billing!AB12</f>
        <v>135685.59619605006</v>
      </c>
    </row>
    <row r="10" spans="1:3" ht="18" x14ac:dyDescent="0.35">
      <c r="A10" s="86" t="str">
        <f>Billing!Q13</f>
        <v>Ubaidullah</v>
      </c>
      <c r="B10" s="14">
        <f>Billing!AA13</f>
        <v>630150</v>
      </c>
      <c r="C10" s="101">
        <f>Billing!AB13</f>
        <v>11124.689100219635</v>
      </c>
    </row>
    <row r="11" spans="1:3" ht="18" x14ac:dyDescent="0.35">
      <c r="A11" s="86" t="str">
        <f>Billing!Q14</f>
        <v>Ashraf Zia</v>
      </c>
      <c r="B11" s="14">
        <f>Billing!AA14</f>
        <v>0</v>
      </c>
      <c r="C11" s="101">
        <f>Billing!AB14</f>
        <v>255724.21360643749</v>
      </c>
    </row>
    <row r="12" spans="1:3" ht="18" x14ac:dyDescent="0.35">
      <c r="A12" s="86" t="str">
        <f>Billing!Q15</f>
        <v>Hafiz Qureshi</v>
      </c>
      <c r="B12" s="14">
        <f>Billing!AA15</f>
        <v>900000</v>
      </c>
      <c r="C12" s="101">
        <f>Billing!AB15</f>
        <v>42053.767373811337</v>
      </c>
    </row>
    <row r="13" spans="1:3" ht="18" x14ac:dyDescent="0.35">
      <c r="A13" s="86" t="str">
        <f>Billing!Q16</f>
        <v>Badshah Fabrics</v>
      </c>
      <c r="B13" s="14">
        <f>Billing!AA16</f>
        <v>3530544</v>
      </c>
      <c r="C13" s="101">
        <f>Billing!AB16</f>
        <v>114702.89100219496</v>
      </c>
    </row>
    <row r="14" spans="1:3" ht="18" x14ac:dyDescent="0.35">
      <c r="A14" t="str">
        <f>Billing!Q17</f>
        <v>Reject</v>
      </c>
      <c r="B14" s="14">
        <f>Billing!AA17</f>
        <v>0</v>
      </c>
      <c r="C14" s="101">
        <f>Billing!AB17</f>
        <v>0</v>
      </c>
    </row>
    <row r="15" spans="1:3" ht="18" x14ac:dyDescent="0.35">
      <c r="A15" t="str">
        <f>Billing!Q18</f>
        <v>Amjad 7up</v>
      </c>
      <c r="B15" s="14">
        <f>Billing!AA18</f>
        <v>480000</v>
      </c>
      <c r="C15" s="102">
        <f>Billing!AB18</f>
        <v>3851.4996342355735</v>
      </c>
    </row>
    <row r="16" spans="1:3" ht="18" x14ac:dyDescent="0.35">
      <c r="A16" t="str">
        <f>Billing!Q19</f>
        <v>Hazrat Khan</v>
      </c>
      <c r="B16" s="14">
        <f>Billing!AA19</f>
        <v>95000</v>
      </c>
      <c r="C16" s="102">
        <f>Billing!AB19</f>
        <v>-5844.9158741770225</v>
      </c>
    </row>
    <row r="17" spans="1:3" ht="18" x14ac:dyDescent="0.35">
      <c r="A17" t="str">
        <f>Billing!Q20</f>
        <v>Haseeb Shamsi</v>
      </c>
      <c r="B17" s="14">
        <f>Billing!AA20</f>
        <v>474200</v>
      </c>
      <c r="C17" s="101">
        <f>Billing!AB20</f>
        <v>178.2004389174399</v>
      </c>
    </row>
    <row r="18" spans="1:3" ht="18" x14ac:dyDescent="0.35">
      <c r="A18" t="str">
        <f>Billing!Q21</f>
        <v>Faizan</v>
      </c>
      <c r="B18" s="14">
        <f>Billing!AA21</f>
        <v>1915571</v>
      </c>
      <c r="C18" s="102">
        <f>Billing!AB21</f>
        <v>-77006.625457205344</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300000</v>
      </c>
      <c r="C20" s="101">
        <f>Billing!AB23</f>
        <v>272170.81199707394</v>
      </c>
    </row>
    <row r="21" spans="1:3" ht="18" x14ac:dyDescent="0.35">
      <c r="A21">
        <f>Billing!Q24</f>
        <v>0</v>
      </c>
      <c r="B21" s="14">
        <f>Billing!AA24</f>
        <v>0</v>
      </c>
      <c r="C21" s="101">
        <f>Billing!AB24</f>
        <v>0</v>
      </c>
    </row>
    <row r="22" spans="1:3" ht="18" x14ac:dyDescent="0.35">
      <c r="A22">
        <f>Billing!Q25</f>
        <v>0</v>
      </c>
      <c r="B22" s="14">
        <f>Billing!AA25</f>
        <v>0</v>
      </c>
      <c r="C22" s="101">
        <f>Billing!AB25</f>
        <v>0</v>
      </c>
    </row>
    <row r="23" spans="1:3" ht="18" x14ac:dyDescent="0.35">
      <c r="A23">
        <f>Billing!Q26</f>
        <v>0</v>
      </c>
      <c r="B23" s="14">
        <f>Billing!AA26</f>
        <v>0</v>
      </c>
      <c r="C23" s="101">
        <f>Billing!AB26</f>
        <v>0</v>
      </c>
    </row>
    <row r="24" spans="1:3" ht="18" x14ac:dyDescent="0.35">
      <c r="A24">
        <f>Billing!Q27</f>
        <v>0</v>
      </c>
      <c r="B24" s="14">
        <f>Billing!AA27</f>
        <v>0</v>
      </c>
      <c r="C24" s="101">
        <f>Billing!AB27</f>
        <v>0</v>
      </c>
    </row>
    <row r="25" spans="1:3" ht="18" x14ac:dyDescent="0.35">
      <c r="A25">
        <f>Billing!Q28</f>
        <v>0</v>
      </c>
      <c r="B25" s="14">
        <f>Billing!AA28</f>
        <v>0</v>
      </c>
      <c r="C25" s="101">
        <f>Billing!AB28</f>
        <v>0</v>
      </c>
    </row>
    <row r="26" spans="1:3" ht="18" x14ac:dyDescent="0.35">
      <c r="A26">
        <f>Billing!Q29</f>
        <v>0</v>
      </c>
      <c r="B26" s="14">
        <f>Billing!AA29</f>
        <v>0</v>
      </c>
      <c r="C26" s="101">
        <f>Billing!AB29</f>
        <v>0</v>
      </c>
    </row>
    <row r="27" spans="1:3" ht="18" x14ac:dyDescent="0.35">
      <c r="A27">
        <f>Billing!Q30</f>
        <v>0</v>
      </c>
      <c r="B27" s="14">
        <f>Billing!AA30</f>
        <v>0</v>
      </c>
      <c r="C27" s="101">
        <f>Billing!AB30</f>
        <v>0</v>
      </c>
    </row>
    <row r="28" spans="1:3" ht="18" x14ac:dyDescent="0.35">
      <c r="A28">
        <f>Billing!Q31</f>
        <v>0</v>
      </c>
      <c r="B28" s="14">
        <f>Billing!AA31</f>
        <v>0</v>
      </c>
      <c r="C28" s="101">
        <f>Billing!AB31</f>
        <v>0</v>
      </c>
    </row>
  </sheetData>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2025-11-05T20:08:37Z</dcterms:modified>
  <cp:category/>
  <cp:contentStatus/>
</cp:coreProperties>
</file>